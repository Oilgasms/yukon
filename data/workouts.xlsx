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 Home Workouts" sheetId="1" r:id="rId5"/>
    <sheet state="visible" name="Phase 2 Whitehorse REDUX" sheetId="2" r:id="rId6"/>
    <sheet state="visible" name="Phase 3 Getting Serious" sheetId="3" r:id="rId7"/>
    <sheet state="visible" name="Sheet1" sheetId="4" r:id="rId8"/>
  </sheets>
  <definedNames/>
  <calcPr/>
</workbook>
</file>

<file path=xl/sharedStrings.xml><?xml version="1.0" encoding="utf-8"?>
<sst xmlns="http://schemas.openxmlformats.org/spreadsheetml/2006/main" count="715" uniqueCount="328">
  <si>
    <t>t</t>
  </si>
  <si>
    <t>Week 1 Jan. 26</t>
  </si>
  <si>
    <t>bike</t>
  </si>
  <si>
    <t xml:space="preserve">Morning </t>
  </si>
  <si>
    <t>Evening</t>
  </si>
  <si>
    <t>Notes</t>
  </si>
  <si>
    <t>Drinks</t>
  </si>
  <si>
    <t>Weight</t>
  </si>
  <si>
    <t>Eating Habits</t>
  </si>
  <si>
    <t>Resting HR</t>
  </si>
  <si>
    <t>OH YEAH NOW WE"RE SERIOUS</t>
  </si>
  <si>
    <t>Measurements</t>
  </si>
  <si>
    <t>Neck</t>
  </si>
  <si>
    <t>Waist</t>
  </si>
  <si>
    <t>Chest</t>
  </si>
  <si>
    <t>LBicp</t>
  </si>
  <si>
    <t>RBicep</t>
  </si>
  <si>
    <t>LLeg</t>
  </si>
  <si>
    <t>RLeg</t>
  </si>
  <si>
    <t>Shoulders</t>
  </si>
  <si>
    <t>Monday</t>
  </si>
  <si>
    <t>In Haines</t>
  </si>
  <si>
    <t>Driving back home from Skegway</t>
  </si>
  <si>
    <t>Chest &amp; Tris</t>
  </si>
  <si>
    <t>Fish and chippppppps</t>
  </si>
  <si>
    <t>Tuesday</t>
  </si>
  <si>
    <t>DB Rows &amp; Biceps (15m)</t>
  </si>
  <si>
    <t>Lower Body/Compounds</t>
  </si>
  <si>
    <t>Mountain Biking</t>
  </si>
  <si>
    <t>165lb Squats</t>
  </si>
  <si>
    <t>09.07.2026</t>
  </si>
  <si>
    <t>Wednesday</t>
  </si>
  <si>
    <t>Upper Body Push/Arms</t>
  </si>
  <si>
    <t>Walk with Jo</t>
  </si>
  <si>
    <t>55lb Incline Press, 45lb Shoulder Press</t>
  </si>
  <si>
    <t>Legs &amp; Shoulders</t>
  </si>
  <si>
    <t>Rowing HIIT (20m)</t>
  </si>
  <si>
    <t>Thursday</t>
  </si>
  <si>
    <t>Back/Hamstrings</t>
  </si>
  <si>
    <t>Mobility Stretching/Abs</t>
  </si>
  <si>
    <t>Easy "Flush" Run (30-40m) w/ David</t>
  </si>
  <si>
    <t>Longer commute</t>
  </si>
  <si>
    <t>155lb Deadlift. 100lb cable row/lat pulldown</t>
  </si>
  <si>
    <t>Friday</t>
  </si>
  <si>
    <t>Chest, Shoulders, and Arms</t>
  </si>
  <si>
    <t>Rest</t>
  </si>
  <si>
    <t>Back &amp; Pull HIIT</t>
  </si>
  <si>
    <t>Hockey</t>
  </si>
  <si>
    <t>65lb db x8 press, some reason could barely do 30lbx8 shoulder press, 70lb cable curls, 50lb tricep pulldown</t>
  </si>
  <si>
    <t>A little crazy on wings</t>
  </si>
  <si>
    <t>Biking w/ Jo</t>
  </si>
  <si>
    <t>Saturday</t>
  </si>
  <si>
    <t>Labour Day</t>
  </si>
  <si>
    <t>Heavy</t>
  </si>
  <si>
    <t>Chores</t>
  </si>
  <si>
    <t>Had people over</t>
  </si>
  <si>
    <t>Incline Work</t>
  </si>
  <si>
    <t>Sunday</t>
  </si>
  <si>
    <t>Stairs</t>
  </si>
  <si>
    <t>Disc golf</t>
  </si>
  <si>
    <t>Chill Bike Ride with Jo to Slow Pour</t>
  </si>
  <si>
    <t>CHEST BACK</t>
  </si>
  <si>
    <t>12x up the stairs, 28k on the bike in total</t>
  </si>
  <si>
    <t>July 3rd</t>
  </si>
  <si>
    <t>Cereal with Sweetened Condensed Milk, Chips @ Slow Pour</t>
  </si>
  <si>
    <t>Hockey, Stretch</t>
  </si>
  <si>
    <t>Week 2 Feb. 2</t>
  </si>
  <si>
    <t>Chest/Back</t>
  </si>
  <si>
    <t>Flat DB Press,65,8-10
Single-Arm DB Row,65,8-10
Incline DB Press,50,10-12
Wide Lat Pulldown,100,10-12
Seated Cable Row,115,12
Incline DB Fly,30,10
Pushups, Inverted rows to failure</t>
  </si>
  <si>
    <r>
      <rPr/>
      <t xml:space="preserve">1A. Barbell Bench Press: 4.6.175 (+10lb)
1B. Single-Arm DB Row: 4.8–10.80 (+5 lb DB jump)
2A. Incline DB Bench Press: 3.7-8.65s (Up from 60s)
2B. Seated Cable Row: 3.8–10.160 (+10 lbs over baseline)
3A. DB Chest Flye: 3.8.35 
3B. Seated Hammer Curls: 3.10–12.35
4A. Cable Face Pull: 3.12–15.100 (+10 lbs)
4B. Dips </t>
    </r>
    <r>
      <rPr>
        <color rgb="FF1155CC"/>
        <u/>
      </rPr>
      <t>3.12ish.BW</t>
    </r>
  </si>
  <si>
    <t>Lower Body</t>
  </si>
  <si>
    <t>Barbell Back Squat,185, 6
Hanging Knee Raises,Bodyweight,12-15
DB Bulgarian Split Squat,40, 7
Cable Woodchoppers,50 ,12
RDL,70,10
Ab Wheel Rollout,Bodyweight,Max
DB Walking Lunges,35,Like 20 steps
Lying Leg Raises,Bodyweight,15</t>
  </si>
  <si>
    <t>Canada Day Biking</t>
  </si>
  <si>
    <t>PUSH</t>
  </si>
  <si>
    <t>Pilates</t>
  </si>
  <si>
    <t>30 Minute Dumbbell Chest &amp; Triceps Workout (No Bench) | Build Muscle #2 - YouTube + Raised Pushups, Dips</t>
  </si>
  <si>
    <t>Shoulders/Arms</t>
  </si>
  <si>
    <t>Seated DB Shoulder Press, 40 lbs (Each),8-10
Incline DB Bicep Curl, 20 lbs (Each),10-12
Standing DB Lateral Raise, 20 lbs (Each),12-15
Cable Tricep Pushdown,40-50 lbs,12-15
DB Rear Delt Fly,20 lbs (Each),15
DB Hammer Curl,30 lbs (Each),10-12
Dips Close-Grip Pushups,Bodyweight,Max
Cable Overhead Tricep Extension,30-40 lbs,12-15</t>
  </si>
  <si>
    <t>DB Bench Press (Neutral Grip),TBD,8-10
Leg Curl,TBD,10-12
Lat Pulldown (Underhand Grip),TBD,10-12
Barbell Romanian Deadlift (RDL),TBD,10-12
Leg Extension,TBD,10-12
Cable Lateral Raise,TBD,15
Cable Face Pulls,TBD,15
Calf Raises,TBD,15-20</t>
  </si>
  <si>
    <t>Morning Bike w/ Mark</t>
  </si>
  <si>
    <t>L</t>
  </si>
  <si>
    <t>q</t>
  </si>
  <si>
    <t>Bike to Church</t>
  </si>
  <si>
    <t>Spikeball w/ Reuben, Mark, Joel, Paul, and Alex</t>
  </si>
  <si>
    <t>July 10th</t>
  </si>
  <si>
    <t>Heavy Upper</t>
  </si>
  <si>
    <t>DB Bench Press,70lb ,6-8
Seated Cable Row, 130, 8
Incline DB Bench Press, 55,8-10
Single-Arm DB Row,70,8-10
DB Incline Fly, 30, 8-10
Pull Ups,Max 5-6
Pushups,Bodyweight, 12-15
Face Pulls,100,8-10</t>
  </si>
  <si>
    <t>Lower/Abs</t>
  </si>
  <si>
    <t>Barbell Back Squat,185 lbs,7
Hanging Knee Raises,Bodyweight,12-15
DB Bulgarian Split Squat,40 lbs,8
Russian Twists
DB Romanian Deadlift (RDL),75 lbs, 8
DB Walking Lunges,40 lbs,10 per leg,Standardized to 20 total steps
Lying Leg Raises,Bodyweight,15,Keep lower back pressed flat to floor
Leg Curl - 110 x 10</t>
  </si>
  <si>
    <t>Run (8k)</t>
  </si>
  <si>
    <t>8.1k, 206m elevation, 1 hour 7:23/km pace - bushwaking</t>
  </si>
  <si>
    <t>Walking to dinner w/</t>
  </si>
  <si>
    <t>Seated DB Shoulder Press,40x11set 1 45x11, 45x9
DB Hammer Curl,40 lbs,8-10
Standing DB Lateral Raise,20 lbs,8-10,
Cable Tricep Pushdown,50 lbs,8-10
DB Arnold Press,40 lbs, 8
Rope Cable Curls - 80lbs 8
Shoulder Shrugs - 70lbx8
Skull Crushers 30 x8</t>
  </si>
  <si>
    <t>Full body/Post. Chain</t>
  </si>
  <si>
    <t>REST</t>
  </si>
  <si>
    <t>1A. Flat DB Crush PRess -&gt; Bench Press,50 lbs,10-12
1B. Leg Extensions, 120,12-15
2A. Seated Cable Rows, 115lb x 10
2B. Leg Curls 120,12-15
3A. Standing DB Lateral Raise, 20 lbs,10-12
3B.RDL 70 10
4A. Cable Tricep Pulldown 80lb - 12
4B. Cable Rope Bicep Curl 80lb 12</t>
  </si>
  <si>
    <t>Bike w/ Mark</t>
  </si>
  <si>
    <t>Bike w/ Jo Joel Katie + Paddleboard</t>
  </si>
  <si>
    <t>Grey Mountain buggaloos</t>
  </si>
  <si>
    <t>LEGS</t>
  </si>
  <si>
    <t>Hike to Spirit Canyon</t>
  </si>
  <si>
    <t>Diggin w/ the boys</t>
  </si>
  <si>
    <t>Walk w/ Jo, Katie, and Joel</t>
  </si>
  <si>
    <t>July 17th</t>
  </si>
  <si>
    <t>1A. Barbell Back Squat: 4.7-8.200 (+10)
1B. Hanging Knee Raise: 4.12-15.BW 
2A. Leg Curl: 3.8-10.150 (+10)
2B. Leg Extension: 3.10-12.150 (+10)
3A. DB Bulgarian Split Squat: 3.6-8.45
3B. Cable Tricep Extensions 3.8-10.50
4A. DB Walking Lunges: 3.10 steps/leg.45s (+5)</t>
  </si>
  <si>
    <t>Run with Jo</t>
  </si>
  <si>
    <t>SHOW MUSCLES</t>
  </si>
  <si>
    <t>Slow and controlled legs tiff x Dan, 3.2k with Jo</t>
  </si>
  <si>
    <t>Light solo basketball</t>
  </si>
  <si>
    <t>Jerusalem Schwartz and Backvala</t>
  </si>
  <si>
    <t>SHOULDERS</t>
  </si>
  <si>
    <t>Rowing 5k</t>
  </si>
  <si>
    <t>First day of 42.5lbs, could barely sitting shoulder press them</t>
  </si>
  <si>
    <r>
      <rPr/>
      <t xml:space="preserve">1A. Standing Barbell OHP: 4.7-9.105 (+10)
1B. Pull-Up: </t>
    </r>
    <r>
      <rPr>
        <color rgb="FF1155CC"/>
        <u/>
      </rPr>
      <t>4.6-8.BW</t>
    </r>
    <r>
      <rPr/>
      <t xml:space="preserve">
2A. Standing Cable Lateral Raise: 3.8-10.30 
2B. Preacher Curl: 3.10-14.45lbs
3A. Cable Tricep Pushdown: 3.8-10.100
3B. Cable Face Pull: 3.12-14.100
4A. Arnold Press: 1.8.50 (+5)
4B. Cable Tricep Extension: 2.10-12.100</t>
    </r>
  </si>
  <si>
    <t>40cm neck, 83.5cm waist</t>
  </si>
  <si>
    <t>PULL</t>
  </si>
  <si>
    <t>CORE</t>
  </si>
  <si>
    <t>Heavy Back/Chest</t>
  </si>
  <si>
    <t>MTB in Porter Creek</t>
  </si>
  <si>
    <t>1A. Flat DB Bench Press,75x2 sets 5-6 70x1sets for 7
1B. DB Row, 75lbs 8
2A. Flat DB Crush Press,55 lbs,8-10,
2B. Seated Cable Rows,130 lbs, 8
3A. DB Chest Flyes,25 lbs,10-12
3B. Lat Pulldown (Wide or Neutral),115-130 lbs, 10</t>
  </si>
  <si>
    <r>
      <rPr/>
      <t xml:space="preserve">OH YA, this video was hard: </t>
    </r>
    <r>
      <rPr>
        <color rgb="FF1155CC"/>
        <u/>
      </rPr>
      <t>https://www.youtube.com/watch?v=CJAuoiOI73w</t>
    </r>
  </si>
  <si>
    <t>POSTERIOR CHAIN</t>
  </si>
  <si>
    <t>Walk with Minto</t>
  </si>
  <si>
    <t xml:space="preserve">1A. Barbell Deadlift: 4.5-6.245 (+20lb)
1B. Incline DB Press: 3.7-8.65
2A. Barbell Glute Bridges: 3.6-8.185 (+10)
2B. Lat Pulldown (Neutral/V-Grip): 3.8-10.145
3A. Barbell Romanian Deadlift: 3.6-8.195 (+10)
3B. Cable Lateral Raise: 3.8-10.30
</t>
  </si>
  <si>
    <t xml:space="preserve">Bike to get Haircut </t>
  </si>
  <si>
    <t>Exercise,Weight,Reps
1A. Barbell Back Squat,185 lbs,8
2A. DB Goblet Squat,70 lbs,10
2B. Plank Hold,Bodyweight,45-60s
3A. DB Walking Lunges,35 lbs,10/side
3B. Leg Curls,130 lbs,8
4A. Standing DB Calf Raises,35 lbs,15-20
4B. DB RDL,75 lbs,8</t>
  </si>
  <si>
    <t xml:space="preserve">
</t>
  </si>
  <si>
    <t>8K Loop - 50 minutes</t>
  </si>
  <si>
    <t>Run with Jo 3k and Bike Lehp</t>
  </si>
  <si>
    <t>8.4 - 1hr2min, 285 elevation, 7:26 pace. still bushwackin' - Need a better route</t>
  </si>
  <si>
    <t>Walk with my Mom</t>
  </si>
  <si>
    <t>1A. Seated DB SP,50,8-10,
1B. DB Ham Curl,40,10-12,
2A. DB Lat Raise,20,12-13,
2B. Cable Tri Pushdown,50,8-12,
3A. Cable Face Pull,60,8-10,
3B. Cross Body Curl,35,10-12
4A. Front DB Raise,20,10-12,
4B. DB Shrug,70,8 (3s hold),</t>
  </si>
  <si>
    <t>09.14.2026</t>
  </si>
  <si>
    <t>POWER</t>
  </si>
  <si>
    <t>1A. Pull-Up,4,(9,8,7,7),BW
1B. DB RDL,4,10-12,80
2A. Cable Row,3,8,130 
2B. Leg Curl,3,10-12,130
3A. DB Lat Raise,3,8,25 
3B  DB Goblet Sq Crab Walk,3,8,60
4A.Ele. Hip Thrust, 3, 10, 115</t>
  </si>
  <si>
    <t>Haines Junction</t>
  </si>
  <si>
    <t>Miles Canyon</t>
  </si>
  <si>
    <t>Beers per Week</t>
  </si>
  <si>
    <t>Few too many snax</t>
  </si>
  <si>
    <t>Fitbit Week</t>
  </si>
  <si>
    <t>No Lights</t>
  </si>
  <si>
    <t>CHEST/BACK</t>
  </si>
  <si>
    <t>Basketball Jones</t>
  </si>
  <si>
    <t>Heavy, whatever I feel like</t>
  </si>
  <si>
    <t>1A. Barbell Bench Press: 1.5.185 (Top Set), 3.5-6.175 (Back-off)
1B. Single-Arm DB Row: 4.10.80
2A. Incline DB Bench Press: 1.5.70 (+5), 2.6.65
2B. Seated Cable Row (Wide Grip): 3.10.130
3A. DB Chest Flye: 3.10.35
3B. Neutral-Grip Lat Pulldown: 3.8.145
4A. Low-to-High Cable Chest Flye: 3.8.50
4B. Chest-Supported DB Row: 3.10.50s</t>
  </si>
  <si>
    <t>Atlin w/ my Mom</t>
  </si>
  <si>
    <t>Incline Chest + A Few Squats</t>
  </si>
  <si>
    <t xml:space="preserve"> Soup</t>
  </si>
  <si>
    <t xml:space="preserve"> </t>
  </si>
  <si>
    <t>1A. Flat DB Bench Press: 3.6-8.75, dropped down to 70 after 1 set of 75s
1B. Seated Cable Row: 3.12.130
2A. Incline DB Bench Press: 3.8-10.60
2B. Single-Arm DB Row: 3.8-10.75
3A. DB Chest Fly: 3.10.30
3B. Lat Pulldown 3.8.130</t>
  </si>
  <si>
    <t>1A. Barbell Back Squat: 4.8.185 - full reps
1B. Hanging Knee Raise: 4.12-15.BW
2A. Leg Curl: 3.8-10.150
2B. Leg Extension: 3.12.150
3A. DB Bulgarian Split Squat: 3.6-7.45
3B. Cable Tricep Extension: 3.8-10.60
4A. DB Walking Lunges: 2.10 steps/leg.50s</t>
  </si>
  <si>
    <t>Stairs or Long Run/Cycle</t>
  </si>
  <si>
    <t>Aaron Legs/Full Body</t>
  </si>
  <si>
    <t>Show Muscles</t>
  </si>
  <si>
    <t xml:space="preserve">10x up the stairs - Kinsmen Gym Workout </t>
  </si>
  <si>
    <t>Walk w. fam / spa day</t>
  </si>
  <si>
    <t>brownie</t>
  </si>
  <si>
    <t>LEGS/SHOULDERS</t>
  </si>
  <si>
    <r>
      <rPr/>
      <t xml:space="preserve">1A. Standing Barbell OHP: 4.7-8.115
1B. Pull-Up: </t>
    </r>
    <r>
      <rPr>
        <color rgb="FF1155CC"/>
        <u/>
      </rPr>
      <t>4.6-7.BW</t>
    </r>
    <r>
      <rPr/>
      <t xml:space="preserve">
2A. Standing Cable Lateral Raise: 3.10-12.30
2B. Preacher Curl: 3.10-12.50
3A. Cable Tricep Pushdown: 3.8-10.110
3B. Cable Face Pull: 3.12-14.110
4A. Overhead Cable Tricep Extension: 3.10-12.100
4B. Cable Bicep Curl: 3.10-12.110</t>
    </r>
  </si>
  <si>
    <t>1A. Barbell Back Squat: 3.8.190
1A. Seated DB Shoulder Press: 3.8-10.50
2A. DB Bulgarian Split Squat: 3.8.45
2A DB Arnold Press 3.8.40
3A. DB  RDL: 3.8.80
3A. DB Lateral Raise: 3.12.25</t>
  </si>
  <si>
    <t>Hike w/ Rae and Shane</t>
  </si>
  <si>
    <t>Carcross</t>
  </si>
  <si>
    <t>Did some errands on the bike too - calves are pretty sore</t>
  </si>
  <si>
    <t>Hike w/ Jo, Rae and Shane</t>
  </si>
  <si>
    <t>Skegway</t>
  </si>
  <si>
    <t>Superbowl</t>
  </si>
  <si>
    <t>Hike w/ Jo Rae and Shane</t>
  </si>
  <si>
    <t>:August 12th</t>
  </si>
  <si>
    <t>Week 3 Feb. 9</t>
  </si>
  <si>
    <t>Late Start</t>
  </si>
  <si>
    <t>BIKING - 2 hotlaps of RoadRunner</t>
  </si>
  <si>
    <t>Post-Chain</t>
  </si>
  <si>
    <t>1A. Flat DB Bench Press: 4.8.155
1B. Seated Cable Row: 3.7.150
2A. Incline DB Bench Press: 3.8.60
2B. Single-Arm DB Row: 3.8.75
3A. DB Chest Fly: 3.10.30
3b: Incline Dumbbell Curls 3.6.30
3B. Chest Press Machine 3.8.90 (slooooow)</t>
  </si>
  <si>
    <t>1A. Barbell Deadlift: 4.6-7.255
2a. Barbell Glute Bridge: 3.8-9.185
2b. Lying Leg Curl: 3.12.140
3a. Barbell RDL: 3.7-8.205
3b. Cable Tricep Pushdown: 3.8-10.120</t>
  </si>
  <si>
    <t>Climbing w/ Mark</t>
  </si>
  <si>
    <t>Lunch workout</t>
  </si>
  <si>
    <t>1A. Incline DB Bench Press: 2.6-7.70, 1.8.60
1B. Incline DB Hammer Curl: 3.8-10.30s
2A. DB Chest Flye: 3.10-12.30s
2B. Overhead Cable Tricep Extension: 3.8-10.100
3A. Cable Lateral Raise: 3.10-12.20
3B. Cable Bicep Curls 3.8.110</t>
  </si>
  <si>
    <t>Berry Pickin</t>
  </si>
  <si>
    <t>1. DB Bulgarian Split Squat: 3.8.45
2. Leg Curls 3.8.140
3. DB Romanian Deadlift (RDL): 3.8.80
4. Leg Extensions: 3.8.150
5. Walking Lunges 2.20.40</t>
  </si>
  <si>
    <t>Basketball</t>
  </si>
  <si>
    <t>09.21.2026</t>
  </si>
  <si>
    <t>CHEST</t>
  </si>
  <si>
    <t>Few Rows and Curls</t>
  </si>
  <si>
    <t>SHOULDERS/ARMS</t>
  </si>
  <si>
    <t>42.5's felt about right for press, tried flying 32.5 still struggled</t>
  </si>
  <si>
    <t>ABS</t>
  </si>
  <si>
    <t>Jo made cookies</t>
  </si>
  <si>
    <t>1A. Seated DB Shoulder Press: 3.8-10.50
1B. DB Hammer Curl: 3.10.40
2A. DB Arnold Press: 3.8.40
2B. Incline DB Bicep Curl: 3.10-12.20
3A. DB Lateral Raise: 3.8.25
3B. Cable Tricep Pushdown: 3.10-12.80
4A. Cable face Pulls: 3.15.90
\4B. Cable Overhead Tricep Extension: 3.12-15.70
5. Cable Bicep Curls 2:Don't Remember</t>
  </si>
  <si>
    <t>POST CHAIN VOLUME</t>
  </si>
  <si>
    <t>Walk, Bike downtown</t>
  </si>
  <si>
    <t>29.2km bike ride</t>
  </si>
  <si>
    <t>Run w/ David</t>
  </si>
  <si>
    <t>1A. Squat. 4.185.8
1b. Pull-Up: 4.8.BW
2a. Elevated Hip Thrust: 3.10.135
2b. DB Front Raise: 3.10.25
3A. Crush Press: 3.10.55
3B. DB Goblet Squat 3.8.65
4. Cable Bicep Curls 3.10.100</t>
  </si>
  <si>
    <t>1A. Barbell Bench Press: 1.5.190 (Top Set) [+5 lbs], 3.5-6.185 (Back-off) [+10 lbs]
1B. Single-Arm DB Row: 4.8-9.85s [+5 lbs]
2A. Incline DB Bench Press: 3.5-6.70 
2B. Seated Cable Row (nuetral): 3.8.175 [+10 lbs]
3A. DB Chest Flye: 3.8-10.35s [Max reps]
3B. WIDE Grip Lat Pulldown: 3.8.145 [+15 lbs]
4A. DB Incline Hex Press: 3.8.45
4B. Chest-Supported DB Row: 3.10.55s [+5 lbs]</t>
  </si>
  <si>
    <t>8,5,3 reps with the 42.5 - thrusters were killing me in  - 5 MILES, 50 MIN</t>
  </si>
  <si>
    <t>LEGS-QUAD FOCUS</t>
  </si>
  <si>
    <t xml:space="preserve">Futsal (FUN!) </t>
  </si>
  <si>
    <t>1A. Barbell Back Squat: 4.6-8.205 [+20 lbs] GET DEEP
1B. Hanging Knee Raise: 4.15.BW [Max reps]
2A. Leg Curl: 2.10.160 [+10 lbs] 1.10.150
2B. Leg Extension: 3.12.160 [+10 lbs]
3A. DB Bulgarian Split Squat: 3.7.50s [+5 lbs]
3B. Cable Tricep Pulldowns: 3.10.120 [+5 lbs]
4A. DB Walking Lunges: 3.8-10.50s [Enforced 3 sets - do not drop]
4B. Standing Calf Raise: 3.15.BW [Added 4B fill]</t>
  </si>
  <si>
    <t>BACK</t>
  </si>
  <si>
    <t>Rowing HIIT</t>
  </si>
  <si>
    <t>1A. Standing Barbell OHP: 4.6-8.120 [+5 lbs]
1B. Pull-Up: 4.8.BW [Strict 8 reps - rest/pause if needed] - Paused on sets 2-4 to add 1-2 more reps
2A. Standing Cable Lateral Raise: 4.10-12.30 [Top of rep range]
2B. Preacher Curl: 4.8-10.50 [Added 4th set for bicep volume]
3A. Cable Tricep Pushdown: 3.8=10.120 [+10 lbs]
3B. Cable Face Pull: 3.12-14.110 [Max reps]
4A. Overhead Cable Tricep Extension: 3.8-10.110 [+10 lbs]
4B. Cable Bicep Curl: 3.7-8.110 [+10 lbs] (can't remember if this was 110 or 120)</t>
  </si>
  <si>
    <t>Repped the 42.5 on rows pretty easily</t>
  </si>
  <si>
    <t>Movie Night</t>
  </si>
  <si>
    <t>1A. Barbell Deadlift: 4.5.270 [+15 lbs]
1B. Cable Rope Face Pull: 4.15.90 [Added 1B superset balance]
2A. Barbell Glute Bridge: 3.8.195 [+10 lbs]
2B. Lying Leg Curl: 3.12.150 [+10 lbs]
3A. Barbell RDL: 4.8.215 [+1 set for hamstring minimum, +10 lbs]
3B. Cable Tricep Pushdown: 4.10.120 [Matched RDL set count]
4A. Seated Calf Raise: 3.15.45 [Added 4A fill]
4B. Ab Roller / Plank: 3.10.BW [Added 4B fill]</t>
  </si>
  <si>
    <t>CORE/MOBILITY</t>
  </si>
  <si>
    <t>Volume</t>
  </si>
  <si>
    <t>Sweat buckets on legs</t>
  </si>
  <si>
    <t>1A. Incline Barbell Press: 1.6.155 (Top Set), 3.7.145 (Back-off)
1B. Lat Pulldown (Neutral Grip): 4.10.160 [+10 lbs]
2A. DB Chest Flye: 3.10-12.35s [Max reps]
2B. Cable Seated Row (Narrow Grip): 3.8.160 [+10 lbs]
3A. Cable Lateral Raise: 3.10-12.30 [Max reps]
3B. Preacher DB Hammer Curl: 3.10.25s [Added 4th set for bicep volume]
4A. Barbell Glute Bridge: 3.8.195 [+10 lbs]
5A. Barbell RDL: 4.10.195</t>
  </si>
  <si>
    <t>Big Hike w/ Jo</t>
  </si>
  <si>
    <t>Rowing HIIt</t>
  </si>
  <si>
    <t>Walk with Millie</t>
  </si>
  <si>
    <t>Worked all day on our car</t>
  </si>
  <si>
    <t>09.28.2026</t>
  </si>
  <si>
    <t>1A. Barbell Bench Press: 4.5-7.165
1B. Single-Arm DB Row: 4.8-10.75
2A. Incline DB Bench Press: 3.10.60
2B. Incline DB Curls 3.8.25
2B. Seated Cable Row: 3.8-10.150
3A. DB chest fly: 3.8.35
3B. Immediate Dumbbell Crush Press 3.5.35
4C. Seated Hammer Curls 3.12.35</t>
  </si>
  <si>
    <t>Stairs or long cardio</t>
  </si>
  <si>
    <t>FILL or Rest</t>
  </si>
  <si>
    <t>Decided to deload</t>
  </si>
  <si>
    <t xml:space="preserve">1A. Barbell Bench Press: 1.5.195 (Top Set) [+5 lbs], 3.5-6.185 (Back-off) [+5 lbs]
1B. Single-Arm DB Row: 4.8-10.85s [Lock in 10 reps across before 90s]
2A. Incline DB Bench Press: 3.5-7.70s
2B. Seated Cable Row (neutral): 3.8-10.175 [+5 lbs]
</t>
  </si>
  <si>
    <t>Full Body</t>
  </si>
  <si>
    <t>futsal</t>
  </si>
  <si>
    <t xml:space="preserve">1A. Barbell Back Squat: 4.7-8.210 [GET DEEP]
1B. Hanging Knee Raise: 4.15.BW [Max reps]
2A. Leg Curl: 3.10-12.160 [Hold clean across 3 sets]
2B. Leg Extension: 3.12-14.160 [+5 lbs]
3A. DB Bulgarian Split Squat: 3.7-8.50s
3B. Cable Tricep Pulldowns: 3.10.120
4. Standing Cross-Body Cable Hip Abduction: 3.10.20
</t>
  </si>
  <si>
    <t>Deload</t>
  </si>
  <si>
    <t>Worked on car</t>
  </si>
  <si>
    <t>Week 4 Feb. 16</t>
  </si>
  <si>
    <t>1A. Barbell Back Squat: 4.8.190
1B. Hanging Knee Raise: 4.12-15.BW
2A. DB Bulgarian Split Squat: 3.6-8.45
2B. Leg Curl: 3.8-10.140
3A. Leg Extension: 3.10-12.140
3B. DB Romanian Deadlift: 3.8-10.80</t>
  </si>
  <si>
    <t>Travel day</t>
  </si>
  <si>
    <t>Run</t>
  </si>
  <si>
    <t>Upper body with Aaron</t>
  </si>
  <si>
    <t>Hike with Ethan and David</t>
  </si>
  <si>
    <t>1A. Standing Barbell OHP: 4.9-11.95 
1B. Pull-Up: 4.6-8.BW 
2A. DB Arnold Press: 3.8-10.45 
2B. DB Hammer Curl: 3.8.45 
3A. DB Lateral Raise: 3.8-10.25 
3B. Cable Tricep Pushdown: 3.10-12.90
4A. Cable Bicep Curl 3.10-12.90
4B. Cable Face Pull: 3.12-14.90</t>
  </si>
  <si>
    <t>Wedding Dance</t>
  </si>
  <si>
    <t>10.05.2026</t>
  </si>
  <si>
    <t xml:space="preserve">1A. Barbell Deadlift: 4.6-8.225 
2A. Barbell Romanian Deadlift: 3.8.185
3A. Barbell Glute Bridges: 3.8-10.155
3B. Seated or Lying Leg Curl: 3.8.150
4A. Dumbbell Walking Lunges: 3.10-12 steps/leg.45s
</t>
  </si>
  <si>
    <t>Had to go to Kilrich</t>
  </si>
  <si>
    <t>42.5s felt a little lifht, will have to increase these before nextt week</t>
  </si>
  <si>
    <t>UPPER VOLUME</t>
  </si>
  <si>
    <t>Walk w/ blue</t>
  </si>
  <si>
    <t>Run Bike w/ kids</t>
  </si>
  <si>
    <t>1A. Incline DB Press: 3.10.60
1B. Lat Pulldown (Neutral/V-Grip): 3.10-12.130
2A. Cable Chest Flye (Low-to-High or Mid): 3.8.50
2B. Seated Cable Row (Wide Grip): 3.10.130
3A. Incline DB Bicep Curl: 3.12-15.25
3B. Cable Overhead Tricep Extension: 3.8-10.80
4A. Cable Face Pull: 3.15.90
4B. Cable Lateral Raise: 3.6-8.30</t>
  </si>
  <si>
    <t>Full body w/ Jo</t>
  </si>
  <si>
    <t>Accidental Workout with Alex</t>
  </si>
  <si>
    <t>Bike ride w/ Katie and Joel</t>
  </si>
  <si>
    <t>workout cut short by shoveling</t>
  </si>
  <si>
    <t>1. Bench
2. 45 degree Press
3. Shoulder Press
4. Bicep Curls</t>
  </si>
  <si>
    <t xml:space="preserve">1A. Barbell Bench Press: 1.2 and a half.200 (Top Set) [+5 lbs], 3.6.185 (Back-off)
1B. Single-Arm DB Row: 4.10-12.90s 
2A. Incline DB Bench Press: 3.10.60
2B. Seated Cable Row (nuetral): 3.12.160
3A. DB Chest Flye: 3.7-8.35s
3B. Narrow Grip Lat Pulldown: 3.8.145 
4A. Cable Chest Fly: 3.8.40
4B. Shoulder Shrugs: 3.8-10.70 </t>
  </si>
  <si>
    <t>Peanut Butter got me</t>
  </si>
  <si>
    <t>BBALL</t>
  </si>
  <si>
    <t>1A. Barbell Back Squat: 1.5.225 [Top Set], 2.8.205 [Back-off] 
1B. Hanging Knee Raise: 4.15.BW 
2A. Seated/Lying Leg Curl: 3.10-12.160 
2B. Leg Extension: 3.14.140 
3A. DB Bulgarian Split Squat: 3.7-8.50s 
3B. Cable Tricep Pulldowns: 3.10.120 
4. BW Dips: 3.8-10</t>
  </si>
  <si>
    <t>Was able to rep the 42.5's 6,7,7,6 - good workout</t>
  </si>
  <si>
    <t>Legs</t>
  </si>
  <si>
    <t>Rowing</t>
  </si>
  <si>
    <r>
      <rPr/>
      <t xml:space="preserve">1A. Standing Barbell OHP: 3.(7.7.4).125
1B. Pull-Up: </t>
    </r>
    <r>
      <rPr>
        <color rgb="FF1155CC"/>
        <u/>
      </rPr>
      <t>4.8.BW</t>
    </r>
    <r>
      <rPr/>
      <t xml:space="preserve"> - No Break
2A. Standing Cable Lateral Raise: 4.10-12.30
2B. Preacher Curl: 4.8-10.55
3A. Cable Tricep Pushdown: 3.8-10.120
3B. Cable Face Pull: 3.10-12.120
4A. Overhead Cable Tricep Extension: 2.8.120
4B. Cable Rope Bicep Curl: 3.10.120</t>
    </r>
  </si>
  <si>
    <t>Bulgarian Split Squats, hard to balance</t>
  </si>
  <si>
    <t>40, 83</t>
  </si>
  <si>
    <t>Full Body HIIT</t>
  </si>
  <si>
    <t>Andy Speer full body workout (42.5) - fun</t>
  </si>
  <si>
    <t>rest</t>
  </si>
  <si>
    <t>Light</t>
  </si>
  <si>
    <t>10.12.2026</t>
  </si>
  <si>
    <t>Full BODY w/ Jo</t>
  </si>
  <si>
    <t>Thanksgiving Monday</t>
  </si>
  <si>
    <t>4k w/ Jo</t>
  </si>
  <si>
    <t>Week 5 Feb. 23</t>
  </si>
  <si>
    <t>1A. Barbell Bench Press: 1.3.205 (Top Set) [+5 lbs], 2.6-8.185 (Back-off)
1B. Single-Arm DB Row: 3.9-10.95s (+5 lbs)
2A. Incline DB Bench Press: 3.8.7-8.65s (+5 lbs)
2B. Seated Cable Row (neutral): 3.10.160 (+10 lbs)
3A. DB Chest Flye: 3.8-10.35s (pushed rep range)
3B. Narrow Grip Lat Pulldown: 3.10.145 (pushed reps)
4A. Cable Chest Fly: 3.8-9.40 (pushed reps)
4B. Shoulder Shrugs: 2.8-10.75s (+5 lbs)</t>
  </si>
  <si>
    <t>LEGS/QUADS</t>
  </si>
  <si>
    <t xml:space="preserve">1A. DB Bulgarian Split Squat: 3.8-10.50s +2 Reps 
1B. Tricep Pushdown 3.8.120
2A. Barbell Back Squat: 1.3.235 +10 [Top Set], 2.6.205 [Back-off] 
2B. Hanging Knee Raise: 4.15.BW 
3A. Seated Leg Curl: 3.12.150 +10 
3B. Leg Extension: 3.14.170 +10
4A. DB Walking Lunges: 3.8-10.50s  (DONT DROP YOU BABY) 
4B. Standing Cross-Body Cable Hip Abduction: 3.10.20
</t>
  </si>
  <si>
    <t>1A. Standing Barbell OHP: 3.8-9.125 (+2 Reps)
1B. Pull-Up: 4.9.BW - No Break (+1 Rep)
2A. Standing Cable Lateral Raise: 3.6-8.40 (+2 Reps)
2B. Preacher Curl: 4.8.8.6.60 (+5)
3A. Cable Tricep Pushdown: 3.8-10.135 (+15)
3B. Cable Face Pull: 3.10-12.100 (Dropped down for proper form)
4A. Overhead Cable Tricep Extension: 2.6-8.120 (+2 Reps)
4B. Cable Rope Bicep Curl: 3.8.135 (+15lbs)</t>
  </si>
  <si>
    <t>Lunch time - POST/CHAIN</t>
  </si>
  <si>
    <t>Boys Bike Ride with Reuban, Mark, Paul, Joel, and Alex</t>
  </si>
  <si>
    <t>1. Barbell Glute Bridge: 3.8-10.205
2A. Leg Curl: 3.12.150. 
2B: Leg Extension: 3.12.170
4. Barbell RDL: 3.7-10.205
5. Cable Abs: 3.10.135</t>
  </si>
  <si>
    <t xml:space="preserve">10k Run?!?!?! </t>
  </si>
  <si>
    <t>Trying out my new 57.5</t>
  </si>
  <si>
    <t>10.19.2026</t>
  </si>
  <si>
    <t>SHOULERS</t>
  </si>
  <si>
    <t>RUN TO LIBRARY</t>
  </si>
  <si>
    <t>1A. Bench 3.6.8.6.185 [Back-off]
1B. Single-Arm DB Row: 3.10.95s (Push for 10 reps across all sets)
2A. Incline DB Bench Press: 3.7-8.65s (+2 reps total across sets)
2B. Seated Cable Row (neutral): 3.10.160 (Hold 160 lbs, focus on strict squeeze)
3A. DB Chest Flye: 2.6-8.40s 1.12.25 
3B. Narrow Grip Lat Pulldown: 3.10.140 (+5 lbs)
4A. Dumbbell Lateral Raises 3.10.25 (+2 reps on final set)
4B. DB Shoulder Shrugs: 3.10.70 (+2 reps across sets)</t>
  </si>
  <si>
    <t>Lunch Futsal</t>
  </si>
  <si>
    <t>FAST 400m Sprints</t>
  </si>
  <si>
    <t>Workout: 5 x 400m at 4:00 pace with 60–90 seconds rest.</t>
  </si>
  <si>
    <t>Full body</t>
  </si>
  <si>
    <t>1A. Barbell Back Squat: 3.10.185 Slow and Deep
2. DB Bulgarian Split Squat: 3.8-10.50s (+1 rep per leg)
2B. Standing Cable Lateral Raise: 3.8-10.30 (Sloooow)
3A. DB Walking Lunges: 3.8-10.50s (No dropping!)
3B. Standing Cross-Body Cable Hip Abduction: 3.10.30 (+10)+
4A. Leg Extension: 3.14-16.170 (+2 reps)
4B. Seated Leg Curl: 3.12.150</t>
  </si>
  <si>
    <t>Walking, Talking, Checking stuff Out</t>
  </si>
  <si>
    <t>Biketo Church</t>
  </si>
  <si>
    <t>1A. Standing Barbell OHP: 3.7-8.125 (Push for 9 reps on set 1)
1B. Pull-Up: 4.9.BW (No Break) 
2A. Standing Cable Lateral Raise: 1.6.40, 2.12.30 (Clean up form at 40 lbs)
2B. Preacher Curl: 3.8.60
3A. Cable Tricep Pushdown: 3.8-10.135
3B. Cable Rope Bicep Curl: 3.8.135
4A. Overhead Cable Tricep Extension: 3.8-10.120 
4B. Cable Face Pull: 3.12.100</t>
  </si>
  <si>
    <t>POST.CHAIN</t>
  </si>
  <si>
    <t xml:space="preserve">Week 6 Mar 2 </t>
  </si>
  <si>
    <t>1a. Seated Leg Curl: 3.9.160
1B. Cable Abs: 3.10-12.135 (+2 reps)
2. Barbell Glute Bridge: 3.8-10.205
3A. Barbell RDL: 3.8-10.205 
3B. Wide Grip Lat Pulldown 3.9.110</t>
  </si>
  <si>
    <t>9.5 Run</t>
  </si>
  <si>
    <t>bike to church</t>
  </si>
  <si>
    <t>10.26.2026</t>
  </si>
  <si>
    <t>1A. Barbell Flat Bench Press: 1.3.210, 1.8.185 (Top Set + Back-off)
1B. Single-Arm DB Row: 3.10-11.95s
2A. Incline DB Bench Press (Neutral Grip): 3.8.50
2B. Seated Cable Row: 3.10.175
3A. Cable Chest Flye: 3.812.50
3B. Neutral-Grip Lat Pulldown: 3.8.145
4A. Lean-Away Cable Lateral Raise: 3.10-12.30
4B. DB Incline Shrugs: 3.8.75s</t>
  </si>
  <si>
    <t>FUTSAL</t>
  </si>
  <si>
    <t>Short Run</t>
  </si>
  <si>
    <t>Run W/ David</t>
  </si>
  <si>
    <t>1A. Barbell Back Squat: 3.5-6.225, 1.12.135 
2A. DB Bulgarian Split Squat: 3.8-10.50s
2B. Cable Lateral Raise (Behind-the-Back): 3.12.30
3A. DB Reverse Deficit Lunges: 2.10.45s
3B. Standing Cable Hip Abduction: 2.8.40
4: Cable Kickbacks: 2.10.80</t>
  </si>
  <si>
    <t>SHOULDER/ARMS</t>
  </si>
  <si>
    <t>Lunch Run</t>
  </si>
  <si>
    <t>1A. Standing Barbell OHP: 3.5.125 (actual 125) 
1B. Weighted Pull-Up or Bodyweight Pull-Up: 3.10.BW
2A. Dumbbell Lateral Raise (Strict/Seated): 3.8-10.30s
2B. Incline DB Bicep Curl: 3.8.35s
3A. Cable Rope Tricep Pushdown: 3.8.140
3B. Preacher Curl: 3.7-8.65
4A. Overhead Rope Tricep Extension: 2.10.120
4B. Arnold Press: 2.8.50</t>
  </si>
  <si>
    <t>Core</t>
  </si>
  <si>
    <t>1A. Seated Leg Curl: 3.10.160
1B. Hanging Leg Raise / Cable Crunch: 3.12.135
2. Barbell Conventional Deadlift or RDL: 1.5.260 (Top Set) / 2.8.205 (RDL Back-off)
3A. Barbell Glute Bridge: 3.10.205
3B. Wide-Grip Lat Pulldown: 3.10.115</t>
  </si>
  <si>
    <t>10k - Upper Body</t>
  </si>
  <si>
    <t>1A. Neutral-Grip Weighted Pull-Up or Lat Pulldown: 3.8-10.150
1B. Low-to-High Cable Chest Flye: 3.12.35s
2A. Incline DB Bench Press: 3.8-10.65s
2B. Face Pull w/ External Rotation: 3.15.100
3A. Overhead Single-Arm DB Tricep Extension: 3.10.35
3B. Incline Hammer Curls: 3.10.35s
4A. DB Overhead Shrugs or Standard Shrugs: 3.10.80s</t>
  </si>
  <si>
    <t>SHOUDLERS</t>
  </si>
  <si>
    <t>11.02..2026</t>
  </si>
  <si>
    <t>FULL BODY</t>
  </si>
  <si>
    <t>11.09.2026</t>
  </si>
  <si>
    <t>RST</t>
  </si>
  <si>
    <t>back</t>
  </si>
  <si>
    <t>ROWING</t>
  </si>
  <si>
    <t>11.16.2026</t>
  </si>
  <si>
    <t>11.23.2026</t>
  </si>
  <si>
    <t>11.30.2026</t>
  </si>
  <si>
    <t>12.07.2026</t>
  </si>
  <si>
    <t>VACATION</t>
  </si>
  <si>
    <t>Month</t>
  </si>
  <si>
    <t>Date</t>
  </si>
  <si>
    <t>AM</t>
  </si>
  <si>
    <t>PM</t>
  </si>
  <si>
    <t>January</t>
  </si>
  <si>
    <t>10.07.2026</t>
  </si>
  <si>
    <t>February</t>
  </si>
  <si>
    <t>March</t>
  </si>
  <si>
    <t>April</t>
  </si>
  <si>
    <t xml:space="preserve">May </t>
  </si>
  <si>
    <t xml:space="preserve">June </t>
  </si>
  <si>
    <t xml:space="preserve">July </t>
  </si>
  <si>
    <t>August</t>
  </si>
  <si>
    <t>September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</si>
</sst>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mm d"/>
    <numFmt numFmtId="165" formatCode="mmmm d yyyy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u/>
      <color theme="1"/>
      <name val="Arial"/>
      <scheme val="minor"/>
    </font>
    <font>
      <u/>
      <color theme="1"/>
      <name val="Arial"/>
      <scheme val="minor"/>
    </font>
    <font>
      <u/>
      <color rgb="FF0000FF"/>
    </font>
    <font>
      <strike/>
      <color theme="1"/>
      <name val="Arial"/>
      <scheme val="minor"/>
    </font>
    <font>
      <color rgb="FF000000"/>
      <name val="Arial"/>
      <scheme val="minor"/>
    </font>
    <font>
      <b/>
      <color theme="1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theme="7"/>
        <bgColor theme="7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6AA84F"/>
        <bgColor rgb="FF6AA84F"/>
      </patternFill>
    </fill>
  </fills>
  <borders count="1">
    <border/>
  </borders>
  <cellStyleXfs count="1">
    <xf borderId="0" fillId="0" fontId="0" numFmtId="0" applyAlignment="1" applyFont="1"/>
  </cellStyleXfs>
  <cellXfs count="5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1" numFmtId="0" xfId="0" applyAlignment="1" applyFill="1" applyFont="1">
      <alignment readingOrder="0" shrinkToFit="0" wrapText="0"/>
    </xf>
    <xf borderId="0" fillId="2" fontId="1" numFmtId="0" xfId="0" applyAlignment="1" applyFill="1" applyFont="1">
      <alignment horizontal="left" readingOrder="0"/>
    </xf>
    <xf borderId="0" fillId="2" fontId="1" numFmtId="0" xfId="0" applyFill="1" applyFont="1"/>
    <xf borderId="0" fillId="3" fontId="1" numFmtId="0" xfId="0" applyAlignment="1" applyFill="1" applyFont="1">
      <alignment readingOrder="0"/>
    </xf>
    <xf borderId="0" fillId="3" fontId="1" numFmtId="0" xfId="0" applyAlignment="1" applyFill="1" applyFont="1">
      <alignment readingOrder="0" shrinkToFit="0" wrapText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readingOrder="0"/>
    </xf>
    <xf borderId="0" fillId="0" fontId="1" numFmtId="0" xfId="0" applyAlignment="1" applyFont="1">
      <alignment shrinkToFit="0" wrapText="0"/>
    </xf>
    <xf borderId="0" fillId="5" fontId="1" numFmtId="0" xfId="0" applyFill="1" applyFont="1"/>
    <xf borderId="0" fillId="3" fontId="1" numFmtId="0" xfId="0" applyFill="1" applyFont="1"/>
    <xf borderId="0" fillId="6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6" fontId="1" numFmtId="0" xfId="0" applyAlignment="1" applyFill="1" applyFont="1">
      <alignment horizontal="left"/>
    </xf>
    <xf borderId="0" fillId="6" fontId="1" numFmtId="0" xfId="0" applyFill="1" applyFont="1"/>
    <xf borderId="0" fillId="6" fontId="1" numFmtId="0" xfId="0" applyAlignment="1" applyFill="1" applyFont="1">
      <alignment horizontal="left" readingOrder="0"/>
    </xf>
    <xf borderId="0" fillId="5" fontId="1" numFmtId="0" xfId="0" applyAlignment="1" applyFill="1" applyFont="1">
      <alignment readingOrder="0"/>
    </xf>
    <xf borderId="0" fillId="4" fontId="1" numFmtId="0" xfId="0" applyAlignment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0" fontId="1" numFmtId="0" xfId="0" applyAlignment="1" applyFont="1">
      <alignment horizontal="left" readingOrder="0"/>
    </xf>
    <xf borderId="0" fillId="5" fontId="1" numFmtId="0" xfId="0" applyAlignment="1" applyFill="1" applyFont="1">
      <alignment horizontal="left"/>
    </xf>
    <xf borderId="0" fillId="4" fontId="1" numFmtId="0" xfId="0" applyFill="1" applyFont="1"/>
    <xf borderId="0" fillId="2" fontId="1" numFmtId="0" xfId="0" applyAlignment="1" applyFill="1" applyFont="1">
      <alignment horizontal="left"/>
    </xf>
    <xf borderId="0" fillId="7" fontId="1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0" fontId="1" numFmtId="0" xfId="0" applyAlignment="1" applyFont="1">
      <alignment horizontal="left"/>
    </xf>
    <xf borderId="0" fillId="8" fontId="2" numFmtId="0" xfId="0" applyAlignment="1" applyFill="1" applyFont="1">
      <alignment readingOrder="0" shrinkToFit="0" wrapText="0"/>
    </xf>
    <xf borderId="0" fillId="0" fontId="3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6" fontId="4" numFmtId="0" xfId="0" applyAlignment="1" applyFill="1" applyFont="1">
      <alignment readingOrder="0"/>
    </xf>
    <xf borderId="0" fillId="0" fontId="1" numFmtId="0" xfId="0" applyAlignment="1" applyFont="1">
      <alignment readingOrder="0" shrinkToFit="0" wrapText="0"/>
    </xf>
    <xf borderId="0" fillId="8" fontId="1" numFmtId="0" xfId="0" applyAlignment="1" applyFill="1" applyFont="1">
      <alignment readingOrder="0" shrinkToFit="0" wrapText="0"/>
    </xf>
    <xf borderId="0" fillId="0" fontId="1" numFmtId="0" xfId="0" applyAlignment="1" applyFont="1">
      <alignment readingOrder="0" shrinkToFit="0" wrapText="1"/>
    </xf>
    <xf borderId="0" fillId="3" fontId="1" numFmtId="0" xfId="0" applyAlignment="1" applyFill="1" applyFont="1">
      <alignment horizontal="left"/>
    </xf>
    <xf borderId="0" fillId="2" fontId="1" numFmtId="164" xfId="0" applyAlignment="1" applyFill="1" applyFont="1" applyNumberFormat="1">
      <alignment readingOrder="0"/>
    </xf>
    <xf borderId="0" fillId="0" fontId="5" numFmtId="0" xfId="0" applyAlignment="1" applyFont="1">
      <alignment readingOrder="0" shrinkToFit="0" wrapText="0"/>
    </xf>
    <xf borderId="0" fillId="9" fontId="1" numFmtId="0" xfId="0" applyAlignment="1" applyFill="1" applyFont="1">
      <alignment readingOrder="0"/>
    </xf>
    <xf borderId="0" fillId="2" fontId="1" numFmtId="0" xfId="0" applyAlignment="1" applyFill="1" applyFont="1">
      <alignment shrinkToFit="0" wrapText="0"/>
    </xf>
    <xf borderId="0" fillId="8" fontId="1" numFmtId="0" xfId="0" applyFill="1" applyFont="1"/>
    <xf borderId="0" fillId="0" fontId="1" numFmtId="0" xfId="0" applyAlignment="1" applyFont="1">
      <alignment readingOrder="0"/>
    </xf>
    <xf borderId="0" fillId="8" fontId="1" numFmtId="0" xfId="0" applyAlignment="1" applyFill="1" applyFont="1">
      <alignment horizontal="left"/>
    </xf>
    <xf borderId="0" fillId="3" fontId="1" numFmtId="0" xfId="0" applyAlignment="1" applyFill="1" applyFont="1">
      <alignment readingOrder="0"/>
    </xf>
    <xf borderId="0" fillId="8" fontId="1" numFmtId="0" xfId="0" applyAlignment="1" applyFill="1" applyFont="1">
      <alignment horizontal="left" readingOrder="0"/>
    </xf>
    <xf borderId="0" fillId="8" fontId="1" numFmtId="0" xfId="0" applyAlignment="1" applyFill="1" applyFont="1">
      <alignment readingOrder="0"/>
    </xf>
    <xf borderId="0" fillId="0" fontId="6" numFmtId="0" xfId="0" applyAlignment="1" applyFont="1">
      <alignment readingOrder="0" shrinkToFit="0" wrapText="0"/>
    </xf>
    <xf borderId="0" fillId="8" fontId="1" numFmtId="0" xfId="0" applyAlignment="1" applyFill="1" applyFont="1">
      <alignment shrinkToFit="0" wrapText="0"/>
    </xf>
    <xf borderId="0" fillId="0" fontId="1" numFmtId="0" xfId="0" applyAlignment="1" applyFont="1">
      <alignment readingOrder="0"/>
    </xf>
    <xf borderId="0" fillId="6" fontId="7" numFmtId="0" xfId="0" applyAlignment="1" applyFill="1" applyFont="1">
      <alignment readingOrder="0"/>
    </xf>
    <xf borderId="0" fillId="6" fontId="1" numFmtId="0" xfId="0" applyAlignment="1" applyFill="1" applyFont="1">
      <alignment readingOrder="0"/>
    </xf>
    <xf borderId="0" fillId="6" fontId="1" numFmtId="0" xfId="0" applyAlignment="1" applyFill="1" applyFont="1">
      <alignment readingOrder="0" shrinkToFit="0" wrapText="1"/>
    </xf>
    <xf borderId="0" fillId="0" fontId="1" numFmtId="165" xfId="0" applyAlignment="1" applyFont="1" applyNumberFormat="1">
      <alignment readingOrder="0"/>
    </xf>
    <xf borderId="0" fillId="10" fontId="1" numFmtId="0" xfId="0" applyAlignment="1" applyFill="1" applyFont="1">
      <alignment readingOrder="0"/>
    </xf>
    <xf borderId="0" fillId="8" fontId="8" numFmtId="0" xfId="0" applyAlignment="1" applyFill="1" applyFont="1">
      <alignment readingOrder="0"/>
    </xf>
    <xf borderId="0" fillId="3" fontId="1" numFmtId="0" xfId="0" applyAlignment="1" applyFill="1" applyFont="1">
      <alignment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Weight vs. Month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Sheet1!$B$1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circle"/>
            <c:size val="7"/>
            <c:spPr>
              <a:solidFill>
                <a:srgbClr val="FF0000">
                  <a:alpha val="100000"/>
                </a:srgbClr>
              </a:solidFill>
              <a:ln cmpd="sng">
                <a:solidFill>
                  <a:srgbClr val="FF0000">
                    <a:alpha val="100000"/>
                  </a:srgbClr>
                </a:solidFill>
              </a:ln>
            </c:spPr>
          </c:marke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Sheet1!$A$2:$A$10</c:f>
            </c:strRef>
          </c:cat>
          <c:val>
            <c:numRef>
              <c:f>Sheet1!$B$2:$B$10</c:f>
              <c:numCache/>
            </c:numRef>
          </c:val>
          <c:smooth val="0"/>
        </c:ser>
        <c:axId val="1976477962"/>
        <c:axId val="2139815032"/>
      </c:lineChart>
      <c:catAx>
        <c:axId val="197647796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9815032"/>
      </c:catAx>
      <c:valAx>
        <c:axId val="2139815032"/>
        <c:scaling>
          <c:orientation val="minMax"/>
          <c:min val="17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Weight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647796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11</xdr:row>
      <xdr:rowOff>76200</xdr:rowOff>
    </xdr:from>
    <xdr:ext cx="4257675" cy="2628900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EXfKqlgYnF4" TargetMode="External"/><Relationship Id="rId2" Type="http://schemas.openxmlformats.org/officeDocument/2006/relationships/hyperlink" Target="https://www.youtube.com/watch?v=CJAuoiOI73w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://3.max.bw/" TargetMode="External"/><Relationship Id="rId2" Type="http://schemas.openxmlformats.org/officeDocument/2006/relationships/hyperlink" Target="http://4.6-8.bw/" TargetMode="External"/><Relationship Id="rId3" Type="http://schemas.openxmlformats.org/officeDocument/2006/relationships/hyperlink" Target="http://4.6-7.bw/" TargetMode="External"/><Relationship Id="rId4" Type="http://schemas.openxmlformats.org/officeDocument/2006/relationships/hyperlink" Target="http://4.8.bw/" TargetMode="External"/><Relationship Id="rId5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2.0"/>
    <col customWidth="1" min="3" max="3" width="27.13"/>
    <col customWidth="1" min="4" max="4" width="80.13"/>
    <col customWidth="1" min="5" max="5" width="7.5"/>
    <col customWidth="1" min="7" max="7" width="50.88"/>
  </cols>
  <sheetData>
    <row r="1">
      <c r="A1" s="1" t="s">
        <v>1</v>
      </c>
      <c r="B1" s="1" t="s">
        <v>3</v>
      </c>
      <c r="C1" s="1" t="s">
        <v>4</v>
      </c>
      <c r="D1" s="2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11</v>
      </c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7" t="s">
        <v>20</v>
      </c>
      <c r="B2" s="13" t="s">
        <v>23</v>
      </c>
      <c r="C2" s="13" t="s">
        <v>26</v>
      </c>
      <c r="D2" s="10"/>
      <c r="F2" s="7">
        <v>176.0</v>
      </c>
      <c r="G2" s="16"/>
      <c r="H2" s="7">
        <v>64.0</v>
      </c>
    </row>
    <row r="3">
      <c r="A3" s="7" t="s">
        <v>25</v>
      </c>
      <c r="B3" s="13" t="s">
        <v>35</v>
      </c>
      <c r="C3" s="13" t="s">
        <v>36</v>
      </c>
      <c r="D3" s="10"/>
      <c r="G3" s="16"/>
    </row>
    <row r="4">
      <c r="A4" s="7" t="s">
        <v>31</v>
      </c>
      <c r="B4" s="13" t="s">
        <v>39</v>
      </c>
      <c r="C4" s="13" t="s">
        <v>40</v>
      </c>
      <c r="D4" s="10"/>
      <c r="G4" s="16"/>
    </row>
    <row r="5">
      <c r="A5" s="7" t="s">
        <v>37</v>
      </c>
      <c r="B5" s="13" t="s">
        <v>46</v>
      </c>
      <c r="C5" s="13" t="s">
        <v>47</v>
      </c>
      <c r="D5" s="10"/>
      <c r="G5" s="9" t="s">
        <v>49</v>
      </c>
    </row>
    <row r="6">
      <c r="A6" s="7" t="s">
        <v>43</v>
      </c>
      <c r="B6" s="13" t="s">
        <v>53</v>
      </c>
      <c r="C6" s="9" t="s">
        <v>45</v>
      </c>
      <c r="D6" s="14" t="s">
        <v>56</v>
      </c>
      <c r="E6" s="7">
        <v>1.0</v>
      </c>
      <c r="G6" s="16"/>
    </row>
    <row r="7">
      <c r="A7" s="7" t="s">
        <v>51</v>
      </c>
      <c r="B7" s="13" t="s">
        <v>58</v>
      </c>
      <c r="C7" s="13" t="s">
        <v>60</v>
      </c>
      <c r="D7" s="14" t="s">
        <v>62</v>
      </c>
      <c r="E7" s="7">
        <v>1.0</v>
      </c>
      <c r="G7" s="25" t="s">
        <v>64</v>
      </c>
    </row>
    <row r="8">
      <c r="A8" s="7" t="s">
        <v>57</v>
      </c>
      <c r="B8" s="9" t="s">
        <v>45</v>
      </c>
      <c r="C8" s="13" t="s">
        <v>65</v>
      </c>
      <c r="D8" s="10"/>
      <c r="G8" s="16"/>
    </row>
    <row r="9">
      <c r="A9" s="1" t="s">
        <v>66</v>
      </c>
      <c r="B9" s="1" t="s">
        <v>3</v>
      </c>
      <c r="C9" s="1" t="s">
        <v>4</v>
      </c>
      <c r="D9" s="2" t="s">
        <v>5</v>
      </c>
      <c r="E9" s="1" t="s">
        <v>6</v>
      </c>
      <c r="F9" s="1" t="s">
        <v>7</v>
      </c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7" t="s">
        <v>20</v>
      </c>
      <c r="B10" s="13" t="s">
        <v>73</v>
      </c>
      <c r="C10" s="13" t="s">
        <v>74</v>
      </c>
      <c r="D10" s="29" t="s">
        <v>75</v>
      </c>
      <c r="F10" s="7">
        <v>176.0</v>
      </c>
      <c r="G10" s="16"/>
    </row>
    <row r="11">
      <c r="A11" s="7" t="s">
        <v>25</v>
      </c>
      <c r="B11" s="13" t="s">
        <v>99</v>
      </c>
      <c r="C11" s="13" t="s">
        <v>105</v>
      </c>
      <c r="D11" s="14" t="s">
        <v>107</v>
      </c>
      <c r="G11" s="9" t="s">
        <v>109</v>
      </c>
    </row>
    <row r="12">
      <c r="A12" s="7" t="s">
        <v>31</v>
      </c>
      <c r="B12" s="13" t="s">
        <v>110</v>
      </c>
      <c r="C12" s="13" t="s">
        <v>111</v>
      </c>
      <c r="D12" s="14" t="s">
        <v>112</v>
      </c>
      <c r="G12" s="16"/>
      <c r="I12" s="7" t="s">
        <v>114</v>
      </c>
    </row>
    <row r="13">
      <c r="A13" s="7" t="s">
        <v>37</v>
      </c>
      <c r="B13" s="13" t="s">
        <v>115</v>
      </c>
      <c r="C13" s="13" t="s">
        <v>116</v>
      </c>
      <c r="D13" s="37" t="s">
        <v>120</v>
      </c>
      <c r="G13" s="9" t="s">
        <v>138</v>
      </c>
    </row>
    <row r="14">
      <c r="A14" s="7" t="s">
        <v>43</v>
      </c>
      <c r="B14" s="13" t="s">
        <v>143</v>
      </c>
      <c r="C14" s="9" t="s">
        <v>45</v>
      </c>
      <c r="D14" s="14" t="s">
        <v>146</v>
      </c>
      <c r="G14" s="13" t="s">
        <v>147</v>
      </c>
    </row>
    <row r="15">
      <c r="A15" s="7" t="s">
        <v>51</v>
      </c>
      <c r="B15" s="13" t="s">
        <v>151</v>
      </c>
      <c r="C15" s="13" t="s">
        <v>152</v>
      </c>
      <c r="D15" s="14" t="s">
        <v>154</v>
      </c>
      <c r="E15" s="7">
        <v>1.0</v>
      </c>
      <c r="F15" s="7">
        <v>175.7</v>
      </c>
      <c r="G15" s="9" t="s">
        <v>156</v>
      </c>
    </row>
    <row r="16">
      <c r="A16" s="7" t="s">
        <v>57</v>
      </c>
      <c r="B16" s="9" t="s">
        <v>45</v>
      </c>
      <c r="C16" s="13" t="s">
        <v>74</v>
      </c>
      <c r="D16" s="14" t="s">
        <v>162</v>
      </c>
      <c r="G16" s="38" t="s">
        <v>165</v>
      </c>
    </row>
    <row r="17">
      <c r="A17" s="1" t="s">
        <v>168</v>
      </c>
      <c r="B17" s="1" t="s">
        <v>3</v>
      </c>
      <c r="C17" s="1" t="s">
        <v>4</v>
      </c>
      <c r="D17" s="2" t="s">
        <v>5</v>
      </c>
      <c r="E17" s="1" t="s">
        <v>6</v>
      </c>
      <c r="F17" s="1" t="s">
        <v>7</v>
      </c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7" t="s">
        <v>20</v>
      </c>
      <c r="B18" s="13" t="s">
        <v>181</v>
      </c>
      <c r="C18" s="13" t="s">
        <v>182</v>
      </c>
      <c r="D18" s="14" t="s">
        <v>184</v>
      </c>
      <c r="G18" s="9" t="s">
        <v>186</v>
      </c>
    </row>
    <row r="19">
      <c r="A19" s="7" t="s">
        <v>25</v>
      </c>
      <c r="B19" s="13" t="s">
        <v>110</v>
      </c>
      <c r="C19" s="13" t="s">
        <v>191</v>
      </c>
      <c r="D19" s="14" t="s">
        <v>194</v>
      </c>
      <c r="F19" s="7">
        <v>178.0</v>
      </c>
      <c r="G19" s="16"/>
    </row>
    <row r="20">
      <c r="A20" s="7" t="s">
        <v>31</v>
      </c>
      <c r="B20" s="13" t="s">
        <v>198</v>
      </c>
      <c r="C20" s="25" t="s">
        <v>199</v>
      </c>
      <c r="D20" s="14" t="s">
        <v>201</v>
      </c>
      <c r="G20" s="9" t="s">
        <v>202</v>
      </c>
    </row>
    <row r="21">
      <c r="A21" s="7" t="s">
        <v>37</v>
      </c>
      <c r="B21" s="13" t="s">
        <v>99</v>
      </c>
      <c r="C21" s="13" t="s">
        <v>204</v>
      </c>
      <c r="D21" s="14" t="s">
        <v>206</v>
      </c>
      <c r="G21" s="16"/>
    </row>
    <row r="22">
      <c r="A22" s="7" t="s">
        <v>43</v>
      </c>
      <c r="B22" s="25" t="s">
        <v>209</v>
      </c>
      <c r="C22" s="9" t="s">
        <v>45</v>
      </c>
      <c r="D22" s="14" t="s">
        <v>211</v>
      </c>
      <c r="E22" s="7">
        <v>2.0</v>
      </c>
      <c r="G22" s="16"/>
    </row>
    <row r="23">
      <c r="A23" s="7" t="s">
        <v>51</v>
      </c>
      <c r="B23" s="5" t="s">
        <v>214</v>
      </c>
      <c r="C23" s="9" t="s">
        <v>215</v>
      </c>
      <c r="D23" s="14" t="s">
        <v>216</v>
      </c>
      <c r="E23" s="7">
        <v>2.0</v>
      </c>
      <c r="G23" s="16"/>
    </row>
    <row r="24">
      <c r="A24" s="7" t="s">
        <v>57</v>
      </c>
      <c r="B24" s="13" t="s">
        <v>218</v>
      </c>
      <c r="C24" s="9" t="s">
        <v>45</v>
      </c>
      <c r="D24" s="14" t="s">
        <v>221</v>
      </c>
      <c r="G24" s="16"/>
    </row>
    <row r="25">
      <c r="A25" s="1" t="s">
        <v>223</v>
      </c>
      <c r="B25" s="1" t="s">
        <v>3</v>
      </c>
      <c r="C25" s="1" t="s">
        <v>4</v>
      </c>
      <c r="D25" s="2" t="s">
        <v>5</v>
      </c>
      <c r="E25" s="1" t="s">
        <v>6</v>
      </c>
      <c r="F25" s="1" t="s">
        <v>7</v>
      </c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7" t="s">
        <v>20</v>
      </c>
      <c r="B26" s="13" t="s">
        <v>14</v>
      </c>
      <c r="C26" s="25" t="s">
        <v>182</v>
      </c>
      <c r="D26" s="14" t="s">
        <v>234</v>
      </c>
      <c r="G26" s="16"/>
    </row>
    <row r="27">
      <c r="A27" s="7" t="s">
        <v>25</v>
      </c>
      <c r="B27" s="13" t="s">
        <v>198</v>
      </c>
      <c r="C27" s="13" t="s">
        <v>239</v>
      </c>
      <c r="D27" s="14" t="s">
        <v>242</v>
      </c>
      <c r="G27" s="9" t="s">
        <v>245</v>
      </c>
    </row>
    <row r="28">
      <c r="A28" s="7" t="s">
        <v>31</v>
      </c>
      <c r="B28" s="13" t="s">
        <v>110</v>
      </c>
      <c r="C28" s="13" t="s">
        <v>185</v>
      </c>
      <c r="D28" s="14" t="s">
        <v>248</v>
      </c>
      <c r="G28" s="16"/>
    </row>
    <row r="29">
      <c r="A29" s="7" t="s">
        <v>37</v>
      </c>
      <c r="B29" s="13" t="s">
        <v>249</v>
      </c>
      <c r="C29" s="13" t="s">
        <v>250</v>
      </c>
      <c r="D29" s="14" t="s">
        <v>252</v>
      </c>
      <c r="G29" s="16"/>
      <c r="I29" s="7" t="s">
        <v>253</v>
      </c>
    </row>
    <row r="30">
      <c r="A30" s="7" t="s">
        <v>43</v>
      </c>
      <c r="B30" s="13" t="s">
        <v>254</v>
      </c>
      <c r="C30" s="9" t="s">
        <v>45</v>
      </c>
      <c r="D30" s="14" t="s">
        <v>255</v>
      </c>
      <c r="E30" s="7">
        <v>1.0</v>
      </c>
      <c r="G30" s="23"/>
    </row>
    <row r="31">
      <c r="A31" s="7" t="s">
        <v>51</v>
      </c>
      <c r="B31" s="9" t="s">
        <v>256</v>
      </c>
      <c r="C31" s="9" t="s">
        <v>257</v>
      </c>
      <c r="D31" s="10"/>
      <c r="G31" s="16"/>
    </row>
    <row r="32">
      <c r="A32" s="7" t="s">
        <v>57</v>
      </c>
      <c r="B32" s="9" t="s">
        <v>45</v>
      </c>
      <c r="C32" s="13" t="s">
        <v>259</v>
      </c>
      <c r="D32" s="10"/>
      <c r="E32" s="7">
        <v>1.0</v>
      </c>
      <c r="G32" s="16"/>
    </row>
    <row r="33">
      <c r="A33" s="1" t="s">
        <v>262</v>
      </c>
      <c r="B33" s="1" t="s">
        <v>3</v>
      </c>
      <c r="C33" s="1" t="s">
        <v>4</v>
      </c>
      <c r="D33" s="2" t="s">
        <v>5</v>
      </c>
      <c r="E33" s="1" t="s">
        <v>137</v>
      </c>
      <c r="F33" s="1" t="s">
        <v>7</v>
      </c>
      <c r="G33" s="4"/>
      <c r="H33" s="1" t="s">
        <v>139</v>
      </c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7" t="s">
        <v>20</v>
      </c>
      <c r="B34" s="13" t="s">
        <v>181</v>
      </c>
      <c r="C34" s="9" t="s">
        <v>94</v>
      </c>
      <c r="D34" s="14" t="s">
        <v>271</v>
      </c>
      <c r="G34" s="16"/>
    </row>
    <row r="35">
      <c r="A35" s="7" t="s">
        <v>25</v>
      </c>
      <c r="B35" s="13" t="s">
        <v>198</v>
      </c>
      <c r="C35" s="13" t="s">
        <v>47</v>
      </c>
      <c r="D35" s="10"/>
      <c r="G35" s="23"/>
    </row>
    <row r="36">
      <c r="A36" s="7" t="s">
        <v>31</v>
      </c>
      <c r="B36" s="13" t="s">
        <v>273</v>
      </c>
      <c r="C36" s="23"/>
      <c r="D36" s="10"/>
      <c r="G36" s="16"/>
    </row>
    <row r="37">
      <c r="A37" s="7" t="s">
        <v>37</v>
      </c>
      <c r="B37" s="13" t="s">
        <v>99</v>
      </c>
      <c r="C37" s="13" t="s">
        <v>274</v>
      </c>
      <c r="D37" s="14"/>
      <c r="G37" s="16"/>
    </row>
    <row r="38">
      <c r="A38" s="7" t="s">
        <v>43</v>
      </c>
      <c r="B38" s="13" t="s">
        <v>250</v>
      </c>
      <c r="C38" s="9" t="s">
        <v>45</v>
      </c>
      <c r="D38" s="10"/>
      <c r="E38" s="7">
        <v>1.0</v>
      </c>
      <c r="G38" s="23"/>
    </row>
    <row r="39">
      <c r="A39" s="7" t="s">
        <v>51</v>
      </c>
      <c r="B39" s="13" t="s">
        <v>279</v>
      </c>
      <c r="C39" s="9" t="s">
        <v>281</v>
      </c>
      <c r="D39" s="10"/>
      <c r="E39" s="7">
        <v>1.0</v>
      </c>
      <c r="G39" s="16"/>
    </row>
    <row r="40">
      <c r="A40" s="7" t="s">
        <v>57</v>
      </c>
      <c r="B40" s="13" t="s">
        <v>282</v>
      </c>
      <c r="C40" s="9" t="s">
        <v>94</v>
      </c>
      <c r="D40" s="10"/>
      <c r="E40" s="7">
        <v>1.0</v>
      </c>
      <c r="G40" s="23"/>
    </row>
    <row r="41">
      <c r="A41" s="1" t="s">
        <v>285</v>
      </c>
      <c r="B41" s="1"/>
      <c r="C41" s="1"/>
      <c r="D41" s="39"/>
      <c r="E41" s="1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7" t="s">
        <v>20</v>
      </c>
      <c r="B42" s="13" t="s">
        <v>14</v>
      </c>
      <c r="C42" s="13" t="s">
        <v>179</v>
      </c>
      <c r="D42" s="47"/>
      <c r="E42" s="40"/>
      <c r="F42" s="40"/>
      <c r="G42" s="40"/>
      <c r="H42" s="40"/>
      <c r="I42" s="40"/>
      <c r="J42" s="40"/>
      <c r="K42" s="13" t="s">
        <v>23</v>
      </c>
      <c r="L42" s="13" t="s">
        <v>26</v>
      </c>
      <c r="M42" s="10"/>
      <c r="O42" s="7">
        <v>176.0</v>
      </c>
      <c r="P42" s="16"/>
      <c r="Q42" s="7">
        <v>64.0</v>
      </c>
    </row>
    <row r="43">
      <c r="A43" s="7" t="s">
        <v>25</v>
      </c>
      <c r="B43" s="45" t="s">
        <v>94</v>
      </c>
      <c r="C43" s="53" t="s">
        <v>293</v>
      </c>
      <c r="D43" s="47"/>
      <c r="E43" s="40"/>
      <c r="F43" s="40"/>
      <c r="G43" s="40"/>
      <c r="H43" s="40"/>
      <c r="I43" s="40"/>
      <c r="J43" s="40"/>
      <c r="K43" s="13" t="s">
        <v>35</v>
      </c>
      <c r="L43" s="13" t="s">
        <v>36</v>
      </c>
      <c r="M43" s="10"/>
      <c r="P43" s="16"/>
    </row>
    <row r="44">
      <c r="A44" s="7" t="s">
        <v>31</v>
      </c>
      <c r="B44" s="53" t="s">
        <v>198</v>
      </c>
      <c r="C44" s="54" t="s">
        <v>94</v>
      </c>
      <c r="D44" s="47"/>
      <c r="E44" s="40"/>
      <c r="F44" s="40"/>
      <c r="G44" s="40"/>
      <c r="H44" s="40"/>
      <c r="I44" s="40"/>
      <c r="J44" s="40"/>
      <c r="K44" s="13"/>
      <c r="L44" s="13"/>
      <c r="M44" s="10"/>
      <c r="P44" s="16"/>
    </row>
    <row r="45">
      <c r="A45" s="7" t="s">
        <v>37</v>
      </c>
      <c r="B45" s="53" t="s">
        <v>302</v>
      </c>
      <c r="C45" s="45" t="s">
        <v>94</v>
      </c>
      <c r="D45" s="47"/>
      <c r="E45" s="40"/>
      <c r="F45" s="40"/>
      <c r="G45" s="45"/>
      <c r="H45" s="40"/>
      <c r="I45" s="40"/>
      <c r="J45" s="40"/>
      <c r="K45" s="13"/>
      <c r="L45" s="13"/>
      <c r="M45" s="10"/>
      <c r="P45" s="9"/>
    </row>
    <row r="46">
      <c r="A46" s="7" t="s">
        <v>43</v>
      </c>
      <c r="B46" s="45" t="s">
        <v>94</v>
      </c>
      <c r="C46" s="45" t="s">
        <v>94</v>
      </c>
      <c r="D46" s="30"/>
      <c r="E46" s="45">
        <v>1.0</v>
      </c>
      <c r="F46" s="40"/>
      <c r="G46" s="40"/>
      <c r="H46" s="40"/>
      <c r="I46" s="40"/>
      <c r="J46" s="40"/>
      <c r="K46" s="13"/>
      <c r="L46" s="9"/>
      <c r="M46" s="14"/>
      <c r="P46" s="16"/>
    </row>
    <row r="47">
      <c r="A47" s="7" t="s">
        <v>51</v>
      </c>
      <c r="B47" s="13" t="s">
        <v>99</v>
      </c>
      <c r="D47" s="30"/>
      <c r="E47" s="45">
        <v>2.0</v>
      </c>
      <c r="F47" s="40"/>
      <c r="G47" s="45"/>
      <c r="H47" s="40"/>
      <c r="I47" s="40"/>
      <c r="J47" s="40"/>
      <c r="K47" s="13"/>
      <c r="L47" s="13"/>
      <c r="M47" s="14"/>
      <c r="P47" s="25"/>
      <c r="R47" s="45" t="s">
        <v>94</v>
      </c>
    </row>
    <row r="48">
      <c r="A48" s="7" t="s">
        <v>57</v>
      </c>
      <c r="B48" s="45" t="s">
        <v>94</v>
      </c>
      <c r="C48" s="13" t="s">
        <v>304</v>
      </c>
      <c r="D48" s="47"/>
      <c r="E48" s="40"/>
      <c r="F48" s="45">
        <v>177.4</v>
      </c>
      <c r="G48" s="40"/>
      <c r="H48" s="40"/>
      <c r="I48" s="40"/>
      <c r="J48" s="40"/>
      <c r="K48" s="9"/>
      <c r="L48" s="13"/>
      <c r="M48" s="10"/>
      <c r="P48" s="16"/>
    </row>
    <row r="49">
      <c r="A49" s="1" t="s">
        <v>66</v>
      </c>
      <c r="B49" s="1"/>
      <c r="C49" s="1"/>
      <c r="D49" s="2"/>
      <c r="E49" s="1"/>
      <c r="F49" s="1"/>
      <c r="G49" s="4"/>
      <c r="H49" s="4"/>
      <c r="I49" s="4"/>
      <c r="J49" s="1"/>
      <c r="K49" s="1"/>
      <c r="L49" s="1"/>
      <c r="M49" s="2"/>
      <c r="N49" s="1"/>
      <c r="O49" s="1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7" t="s">
        <v>20</v>
      </c>
      <c r="B50" s="13" t="s">
        <v>14</v>
      </c>
      <c r="C50" s="9" t="s">
        <v>306</v>
      </c>
      <c r="D50" s="33"/>
      <c r="E50" s="40"/>
      <c r="F50" s="40"/>
      <c r="G50" s="16"/>
      <c r="H50" s="40"/>
      <c r="I50" s="40"/>
      <c r="J50" s="40"/>
      <c r="K50" s="13"/>
      <c r="L50" s="13"/>
      <c r="M50" s="26"/>
      <c r="P50" s="16"/>
    </row>
    <row r="51">
      <c r="A51" s="7" t="s">
        <v>25</v>
      </c>
      <c r="B51" s="13" t="s">
        <v>307</v>
      </c>
      <c r="C51" s="13" t="s">
        <v>191</v>
      </c>
      <c r="D51" s="30"/>
      <c r="E51" s="40"/>
      <c r="F51" s="40"/>
      <c r="G51" s="9"/>
      <c r="H51" s="40"/>
      <c r="I51" s="40"/>
      <c r="J51" s="40"/>
      <c r="K51" s="13"/>
      <c r="L51" s="13"/>
      <c r="M51" s="14"/>
      <c r="P51" s="9"/>
    </row>
    <row r="52">
      <c r="A52" s="7" t="s">
        <v>31</v>
      </c>
      <c r="B52" s="9" t="s">
        <v>94</v>
      </c>
      <c r="C52" s="45" t="s">
        <v>110</v>
      </c>
      <c r="D52" s="30"/>
      <c r="E52" s="40"/>
      <c r="F52" s="40"/>
      <c r="G52" s="40"/>
      <c r="H52" s="40"/>
      <c r="I52" s="40"/>
      <c r="J52" s="40"/>
      <c r="K52" s="13"/>
      <c r="L52" s="13"/>
      <c r="M52" s="14"/>
      <c r="P52" s="16"/>
    </row>
    <row r="53">
      <c r="A53" s="7" t="s">
        <v>37</v>
      </c>
      <c r="B53" s="45" t="s">
        <v>99</v>
      </c>
      <c r="C53" s="45" t="s">
        <v>308</v>
      </c>
      <c r="D53" s="33"/>
      <c r="E53" s="40"/>
      <c r="F53" s="40"/>
      <c r="G53" s="45"/>
      <c r="H53" s="40"/>
      <c r="I53" s="40"/>
      <c r="J53" s="40"/>
      <c r="K53" s="13"/>
      <c r="L53" s="13"/>
      <c r="M53" s="26"/>
      <c r="P53" s="9"/>
    </row>
    <row r="54">
      <c r="A54" s="7" t="s">
        <v>43</v>
      </c>
      <c r="B54" s="45" t="s">
        <v>304</v>
      </c>
      <c r="C54" s="45" t="s">
        <v>94</v>
      </c>
      <c r="D54" s="30"/>
      <c r="E54" s="40"/>
      <c r="F54" s="40"/>
      <c r="G54" s="45"/>
      <c r="H54" s="40"/>
      <c r="I54" s="40"/>
      <c r="J54" s="40"/>
      <c r="K54" s="13"/>
      <c r="L54" s="9"/>
      <c r="M54" s="14"/>
      <c r="P54" s="13"/>
    </row>
    <row r="55">
      <c r="A55" s="7" t="s">
        <v>51</v>
      </c>
      <c r="B55" s="45"/>
      <c r="C55" s="45"/>
      <c r="D55" s="30"/>
      <c r="E55" s="40"/>
      <c r="F55" s="40"/>
      <c r="G55" s="45"/>
      <c r="H55" s="40"/>
      <c r="I55" s="40"/>
      <c r="J55" s="40"/>
      <c r="K55" s="13"/>
      <c r="L55" s="13"/>
      <c r="M55" s="14"/>
      <c r="P55" s="9"/>
    </row>
    <row r="56">
      <c r="A56" s="7" t="s">
        <v>57</v>
      </c>
      <c r="B56" s="45"/>
      <c r="C56" s="45"/>
      <c r="D56" s="30"/>
      <c r="E56" s="40"/>
      <c r="F56" s="40"/>
      <c r="G56" s="45"/>
      <c r="H56" s="40"/>
      <c r="I56" s="40"/>
      <c r="J56" s="40"/>
      <c r="K56" s="9"/>
      <c r="L56" s="13"/>
      <c r="M56" s="14"/>
      <c r="P56" s="38"/>
    </row>
    <row r="57">
      <c r="A57" s="1" t="s">
        <v>168</v>
      </c>
      <c r="B57" s="1"/>
      <c r="C57" s="1"/>
      <c r="D57" s="2"/>
      <c r="E57" s="1"/>
      <c r="F57" s="1"/>
      <c r="G57" s="4"/>
      <c r="H57" s="4"/>
      <c r="I57" s="4"/>
      <c r="J57" s="1"/>
      <c r="K57" s="1"/>
      <c r="L57" s="1"/>
      <c r="M57" s="2"/>
      <c r="N57" s="1"/>
      <c r="O57" s="1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7" t="s">
        <v>20</v>
      </c>
      <c r="B58" s="45"/>
      <c r="C58" s="45"/>
      <c r="D58" s="30"/>
      <c r="E58" s="40"/>
      <c r="F58" s="40"/>
      <c r="G58" s="45"/>
      <c r="H58" s="40"/>
      <c r="I58" s="40"/>
      <c r="J58" s="40"/>
      <c r="K58" s="13"/>
      <c r="L58" s="13"/>
      <c r="M58" s="14"/>
      <c r="P58" s="9"/>
    </row>
    <row r="59">
      <c r="A59" s="7" t="s">
        <v>25</v>
      </c>
      <c r="B59" s="45"/>
      <c r="C59" s="45"/>
      <c r="D59" s="30"/>
      <c r="E59" s="40"/>
      <c r="F59" s="40"/>
      <c r="G59" s="40"/>
      <c r="H59" s="40"/>
      <c r="I59" s="40"/>
      <c r="J59" s="40"/>
      <c r="K59" s="13"/>
      <c r="L59" s="13"/>
      <c r="M59" s="14"/>
      <c r="P59" s="16"/>
    </row>
    <row r="60">
      <c r="A60" s="7" t="s">
        <v>31</v>
      </c>
      <c r="B60" s="45"/>
      <c r="C60" s="45"/>
      <c r="D60" s="30"/>
      <c r="E60" s="40"/>
      <c r="F60" s="40"/>
      <c r="G60" s="45"/>
      <c r="H60" s="40"/>
      <c r="I60" s="40"/>
      <c r="J60" s="40"/>
      <c r="K60" s="13"/>
      <c r="L60" s="25"/>
      <c r="M60" s="14"/>
      <c r="P60" s="9"/>
    </row>
    <row r="61">
      <c r="A61" s="7" t="s">
        <v>37</v>
      </c>
      <c r="B61" s="45"/>
      <c r="C61" s="45"/>
      <c r="D61" s="30"/>
      <c r="E61" s="40"/>
      <c r="F61" s="40"/>
      <c r="G61" s="40"/>
      <c r="H61" s="40"/>
      <c r="I61" s="40"/>
      <c r="J61" s="40"/>
      <c r="K61" s="13"/>
      <c r="L61" s="13"/>
      <c r="M61" s="14"/>
      <c r="P61" s="16"/>
    </row>
    <row r="62">
      <c r="A62" s="7" t="s">
        <v>43</v>
      </c>
      <c r="B62" s="45"/>
      <c r="C62" s="45"/>
      <c r="D62" s="30"/>
      <c r="E62" s="40"/>
      <c r="F62" s="40"/>
      <c r="G62" s="40"/>
      <c r="H62" s="40"/>
      <c r="I62" s="40"/>
      <c r="J62" s="40"/>
      <c r="K62" s="25"/>
      <c r="L62" s="9"/>
      <c r="M62" s="14"/>
      <c r="P62" s="16"/>
    </row>
    <row r="63">
      <c r="A63" s="7" t="s">
        <v>51</v>
      </c>
      <c r="B63" s="45"/>
      <c r="C63" s="45"/>
      <c r="D63" s="30"/>
      <c r="E63" s="40"/>
      <c r="F63" s="40"/>
      <c r="G63" s="40"/>
      <c r="H63" s="40"/>
      <c r="I63" s="40"/>
      <c r="J63" s="40"/>
      <c r="K63" s="5"/>
      <c r="L63" s="9"/>
      <c r="M63" s="14"/>
      <c r="P63" s="16"/>
    </row>
    <row r="64">
      <c r="A64" s="7" t="s">
        <v>57</v>
      </c>
      <c r="B64" s="45"/>
      <c r="C64" s="45"/>
      <c r="D64" s="30"/>
      <c r="E64" s="40"/>
      <c r="F64" s="40"/>
      <c r="G64" s="40"/>
      <c r="H64" s="40"/>
      <c r="I64" s="40"/>
      <c r="J64" s="40"/>
      <c r="K64" s="13"/>
      <c r="L64" s="9"/>
      <c r="M64" s="14"/>
      <c r="P64" s="16"/>
    </row>
    <row r="65">
      <c r="A65" s="1" t="s">
        <v>223</v>
      </c>
      <c r="B65" s="1"/>
      <c r="C65" s="1"/>
      <c r="D65" s="2"/>
      <c r="E65" s="1"/>
      <c r="F65" s="1"/>
      <c r="G65" s="4"/>
      <c r="H65" s="4"/>
      <c r="I65" s="4"/>
      <c r="J65" s="1"/>
      <c r="K65" s="1"/>
      <c r="L65" s="1"/>
      <c r="M65" s="2"/>
      <c r="N65" s="1"/>
      <c r="O65" s="1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7" t="s">
        <v>20</v>
      </c>
      <c r="B66" s="45"/>
      <c r="C66" s="45"/>
      <c r="D66" s="30"/>
      <c r="E66" s="40"/>
      <c r="F66" s="40"/>
      <c r="G66" s="40"/>
      <c r="H66" s="40"/>
      <c r="I66" s="40"/>
      <c r="J66" s="40"/>
      <c r="K66" s="13"/>
      <c r="L66" s="25"/>
      <c r="M66" s="14"/>
      <c r="P66" s="16"/>
    </row>
    <row r="67">
      <c r="A67" s="7" t="s">
        <v>25</v>
      </c>
      <c r="B67" s="45"/>
      <c r="C67" s="45"/>
      <c r="D67" s="30"/>
      <c r="E67" s="40"/>
      <c r="F67" s="40"/>
      <c r="G67" s="45"/>
      <c r="H67" s="40"/>
      <c r="I67" s="40"/>
      <c r="J67" s="40"/>
      <c r="K67" s="13"/>
      <c r="L67" s="13"/>
      <c r="M67" s="14"/>
      <c r="P67" s="9"/>
    </row>
    <row r="68">
      <c r="A68" s="7" t="s">
        <v>31</v>
      </c>
      <c r="B68" s="45"/>
      <c r="C68" s="45"/>
      <c r="D68" s="30"/>
      <c r="E68" s="40"/>
      <c r="F68" s="40"/>
      <c r="G68" s="40"/>
      <c r="H68" s="40"/>
      <c r="I68" s="40"/>
      <c r="J68" s="40"/>
      <c r="K68" s="13"/>
      <c r="L68" s="13"/>
      <c r="M68" s="14"/>
      <c r="P68" s="16"/>
    </row>
    <row r="69">
      <c r="A69" s="7" t="s">
        <v>37</v>
      </c>
      <c r="B69" s="45"/>
      <c r="C69" s="45"/>
      <c r="D69" s="30"/>
      <c r="E69" s="40"/>
      <c r="F69" s="40"/>
      <c r="G69" s="40"/>
      <c r="H69" s="40"/>
      <c r="I69" s="40"/>
      <c r="J69" s="40"/>
      <c r="K69" s="13"/>
      <c r="L69" s="13"/>
      <c r="M69" s="14"/>
      <c r="P69" s="16"/>
    </row>
    <row r="70">
      <c r="A70" s="7" t="s">
        <v>43</v>
      </c>
      <c r="B70" s="45"/>
      <c r="C70" s="45"/>
      <c r="D70" s="30"/>
      <c r="E70" s="40"/>
      <c r="F70" s="40"/>
      <c r="G70" s="40"/>
      <c r="H70" s="40"/>
      <c r="I70" s="40"/>
      <c r="J70" s="40"/>
      <c r="K70" s="13"/>
      <c r="L70" s="9"/>
      <c r="M70" s="14"/>
      <c r="P70" s="23"/>
    </row>
    <row r="71">
      <c r="A71" s="7" t="s">
        <v>51</v>
      </c>
      <c r="B71" s="45"/>
      <c r="C71" s="45"/>
      <c r="D71" s="47"/>
      <c r="E71" s="40"/>
      <c r="F71" s="40"/>
      <c r="G71" s="40"/>
      <c r="H71" s="40"/>
      <c r="I71" s="40"/>
      <c r="J71" s="40"/>
      <c r="K71" s="9"/>
      <c r="L71" s="9"/>
      <c r="M71" s="10"/>
      <c r="P71" s="16"/>
    </row>
    <row r="72">
      <c r="A72" s="7" t="s">
        <v>57</v>
      </c>
      <c r="B72" s="45"/>
      <c r="C72" s="45"/>
      <c r="D72" s="47"/>
      <c r="E72" s="40"/>
      <c r="F72" s="40"/>
      <c r="G72" s="40"/>
      <c r="H72" s="40"/>
      <c r="I72" s="40"/>
      <c r="J72" s="40"/>
      <c r="K72" s="9"/>
      <c r="L72" s="13"/>
      <c r="M72" s="10"/>
      <c r="P72" s="16"/>
    </row>
    <row r="73">
      <c r="A73" s="1" t="s">
        <v>262</v>
      </c>
      <c r="B73" s="1"/>
      <c r="C73" s="1"/>
      <c r="D73" s="2"/>
      <c r="E73" s="1"/>
      <c r="F73" s="1"/>
      <c r="G73" s="4"/>
      <c r="H73" s="1"/>
      <c r="I73" s="4"/>
      <c r="J73" s="1"/>
      <c r="K73" s="1"/>
      <c r="L73" s="1"/>
      <c r="M73" s="2"/>
      <c r="N73" s="1"/>
      <c r="O73" s="1"/>
      <c r="P73" s="4"/>
      <c r="Q73" s="1"/>
      <c r="R73" s="4"/>
      <c r="S73" s="4"/>
      <c r="T73" s="4"/>
      <c r="U73" s="4"/>
      <c r="V73" s="4"/>
      <c r="W73" s="4"/>
      <c r="X73" s="4"/>
      <c r="Y73" s="4"/>
    </row>
    <row r="74">
      <c r="A74" s="7" t="s">
        <v>20</v>
      </c>
      <c r="B74" s="45"/>
      <c r="C74" s="45"/>
      <c r="D74" s="30"/>
      <c r="E74" s="40"/>
      <c r="F74" s="40"/>
      <c r="G74" s="40"/>
      <c r="H74" s="40"/>
      <c r="I74" s="40"/>
      <c r="J74" s="40"/>
      <c r="K74" s="13"/>
      <c r="L74" s="9"/>
      <c r="M74" s="14"/>
      <c r="P74" s="16"/>
    </row>
    <row r="75">
      <c r="A75" s="7" t="s">
        <v>25</v>
      </c>
      <c r="B75" s="45"/>
      <c r="C75" s="45"/>
      <c r="D75" s="47"/>
      <c r="E75" s="40"/>
      <c r="F75" s="40"/>
      <c r="G75" s="40"/>
      <c r="H75" s="40"/>
      <c r="I75" s="40"/>
      <c r="J75" s="40"/>
      <c r="K75" s="13"/>
      <c r="L75" s="13"/>
      <c r="M75" s="10"/>
      <c r="P75" s="23"/>
    </row>
    <row r="76">
      <c r="A76" s="7" t="s">
        <v>31</v>
      </c>
      <c r="B76" s="45"/>
      <c r="C76" s="40"/>
      <c r="D76" s="47"/>
      <c r="E76" s="40"/>
      <c r="F76" s="40"/>
      <c r="G76" s="40"/>
      <c r="H76" s="40"/>
      <c r="I76" s="40"/>
      <c r="J76" s="40"/>
      <c r="K76" s="13"/>
      <c r="L76" s="23"/>
      <c r="M76" s="10"/>
      <c r="P76" s="16"/>
    </row>
    <row r="77">
      <c r="A77" s="7" t="s">
        <v>37</v>
      </c>
      <c r="B77" s="45"/>
      <c r="C77" s="45"/>
      <c r="D77" s="30"/>
      <c r="E77" s="40"/>
      <c r="F77" s="40"/>
      <c r="G77" s="40"/>
      <c r="H77" s="40"/>
      <c r="I77" s="40"/>
      <c r="J77" s="40"/>
      <c r="K77" s="13"/>
      <c r="L77" s="13"/>
      <c r="M77" s="14"/>
      <c r="P77" s="16"/>
    </row>
    <row r="78">
      <c r="A78" s="7" t="s">
        <v>43</v>
      </c>
      <c r="B78" s="45"/>
      <c r="C78" s="45"/>
      <c r="D78" s="47"/>
      <c r="E78" s="40"/>
      <c r="F78" s="40"/>
      <c r="G78" s="40"/>
      <c r="H78" s="40"/>
      <c r="I78" s="40"/>
      <c r="J78" s="40"/>
      <c r="K78" s="13"/>
      <c r="L78" s="9"/>
      <c r="M78" s="10"/>
      <c r="P78" s="23"/>
    </row>
    <row r="79">
      <c r="A79" s="7" t="s">
        <v>51</v>
      </c>
      <c r="B79" s="45"/>
      <c r="C79" s="45"/>
      <c r="D79" s="47"/>
      <c r="E79" s="40"/>
      <c r="F79" s="40"/>
      <c r="G79" s="40"/>
      <c r="H79" s="40"/>
      <c r="I79" s="40"/>
      <c r="J79" s="40"/>
      <c r="K79" s="13"/>
      <c r="L79" s="9"/>
      <c r="M79" s="10"/>
      <c r="P79" s="16"/>
    </row>
    <row r="80">
      <c r="A80" s="7" t="s">
        <v>57</v>
      </c>
      <c r="B80" s="45"/>
      <c r="C80" s="45"/>
      <c r="D80" s="47"/>
      <c r="E80" s="40"/>
      <c r="F80" s="40"/>
      <c r="G80" s="40"/>
      <c r="H80" s="40"/>
      <c r="I80" s="40"/>
      <c r="J80" s="40"/>
      <c r="K80" s="9"/>
      <c r="L80" s="13"/>
      <c r="M80" s="10"/>
      <c r="P80" s="23"/>
    </row>
    <row r="81">
      <c r="D81" s="10"/>
    </row>
    <row r="82">
      <c r="D82" s="10"/>
    </row>
    <row r="83">
      <c r="D83" s="10"/>
    </row>
    <row r="84">
      <c r="D84" s="10"/>
    </row>
    <row r="85">
      <c r="D85" s="10"/>
    </row>
    <row r="86">
      <c r="D86" s="10"/>
    </row>
    <row r="87">
      <c r="D87" s="10"/>
    </row>
    <row r="88">
      <c r="D88" s="10"/>
    </row>
    <row r="89">
      <c r="D89" s="10"/>
    </row>
    <row r="90">
      <c r="D90" s="10"/>
    </row>
    <row r="91">
      <c r="D91" s="10"/>
    </row>
    <row r="92">
      <c r="D92" s="10"/>
    </row>
    <row r="93">
      <c r="D93" s="10"/>
    </row>
    <row r="94">
      <c r="D94" s="10"/>
    </row>
    <row r="95">
      <c r="D95" s="10"/>
    </row>
    <row r="96">
      <c r="D96" s="10"/>
    </row>
    <row r="97">
      <c r="D97" s="10"/>
    </row>
    <row r="98">
      <c r="D98" s="10"/>
    </row>
    <row r="99">
      <c r="D99" s="10"/>
    </row>
    <row r="100">
      <c r="D100" s="10"/>
    </row>
    <row r="101">
      <c r="D101" s="10"/>
    </row>
    <row r="102">
      <c r="D102" s="10"/>
    </row>
    <row r="103">
      <c r="D103" s="10"/>
    </row>
    <row r="104">
      <c r="D104" s="10"/>
    </row>
    <row r="105">
      <c r="D105" s="10"/>
    </row>
    <row r="106">
      <c r="D106" s="10"/>
    </row>
    <row r="107">
      <c r="D107" s="10"/>
    </row>
    <row r="108">
      <c r="D108" s="10"/>
    </row>
    <row r="109">
      <c r="D109" s="10"/>
    </row>
    <row r="110">
      <c r="D110" s="10"/>
    </row>
    <row r="111">
      <c r="D111" s="10"/>
    </row>
    <row r="112">
      <c r="D112" s="10"/>
    </row>
    <row r="113">
      <c r="D113" s="10"/>
    </row>
    <row r="114">
      <c r="D114" s="10"/>
    </row>
    <row r="115">
      <c r="D115" s="10"/>
    </row>
    <row r="116">
      <c r="D116" s="10"/>
    </row>
    <row r="117">
      <c r="D117" s="10"/>
    </row>
    <row r="118">
      <c r="D118" s="10"/>
    </row>
    <row r="119">
      <c r="D119" s="10"/>
    </row>
    <row r="120">
      <c r="D120" s="10"/>
    </row>
    <row r="121">
      <c r="D121" s="10"/>
    </row>
    <row r="122">
      <c r="D122" s="10"/>
    </row>
    <row r="123">
      <c r="D123" s="10"/>
    </row>
    <row r="124">
      <c r="D124" s="10"/>
    </row>
    <row r="125">
      <c r="D125" s="10"/>
    </row>
    <row r="126">
      <c r="D126" s="10"/>
    </row>
    <row r="127">
      <c r="D127" s="10"/>
    </row>
    <row r="128">
      <c r="D128" s="10"/>
    </row>
    <row r="129">
      <c r="D129" s="10"/>
    </row>
    <row r="130">
      <c r="D130" s="10"/>
    </row>
    <row r="131">
      <c r="D131" s="10"/>
    </row>
    <row r="132">
      <c r="D132" s="10"/>
    </row>
    <row r="133">
      <c r="D133" s="10"/>
    </row>
    <row r="134">
      <c r="D134" s="10"/>
    </row>
    <row r="135">
      <c r="D135" s="10"/>
    </row>
    <row r="136">
      <c r="D136" s="10"/>
    </row>
    <row r="137">
      <c r="D137" s="10"/>
    </row>
    <row r="138">
      <c r="D138" s="10"/>
    </row>
    <row r="139">
      <c r="D139" s="10"/>
    </row>
    <row r="140">
      <c r="D140" s="10"/>
    </row>
    <row r="141">
      <c r="D141" s="10"/>
    </row>
    <row r="142">
      <c r="D142" s="10"/>
    </row>
    <row r="143">
      <c r="D143" s="10"/>
    </row>
    <row r="144">
      <c r="D144" s="10"/>
    </row>
    <row r="145">
      <c r="D145" s="10"/>
    </row>
    <row r="146">
      <c r="D146" s="10"/>
    </row>
    <row r="147">
      <c r="D147" s="10"/>
    </row>
    <row r="148">
      <c r="D148" s="10"/>
    </row>
    <row r="149">
      <c r="D149" s="10"/>
    </row>
    <row r="150">
      <c r="D150" s="10"/>
    </row>
    <row r="151">
      <c r="D151" s="10"/>
    </row>
    <row r="152">
      <c r="D152" s="10"/>
    </row>
    <row r="153">
      <c r="D153" s="10"/>
    </row>
    <row r="154">
      <c r="D154" s="10"/>
    </row>
    <row r="155">
      <c r="D155" s="10"/>
    </row>
    <row r="156">
      <c r="D156" s="10"/>
    </row>
    <row r="157">
      <c r="D157" s="10"/>
    </row>
    <row r="158">
      <c r="D158" s="10"/>
    </row>
    <row r="159">
      <c r="D159" s="10"/>
    </row>
    <row r="160">
      <c r="D160" s="10"/>
    </row>
    <row r="161">
      <c r="D161" s="10"/>
    </row>
    <row r="162">
      <c r="D162" s="10"/>
    </row>
    <row r="163">
      <c r="D163" s="10"/>
    </row>
    <row r="164">
      <c r="D164" s="10"/>
    </row>
    <row r="165">
      <c r="D165" s="10"/>
    </row>
    <row r="166">
      <c r="D166" s="10"/>
    </row>
    <row r="167">
      <c r="D167" s="10"/>
    </row>
    <row r="168">
      <c r="D168" s="10"/>
    </row>
    <row r="169">
      <c r="D169" s="10"/>
    </row>
    <row r="170">
      <c r="D170" s="10"/>
    </row>
    <row r="171">
      <c r="D171" s="10"/>
    </row>
    <row r="172">
      <c r="D172" s="10"/>
    </row>
    <row r="173">
      <c r="D173" s="10"/>
    </row>
    <row r="174">
      <c r="D174" s="10"/>
    </row>
    <row r="175">
      <c r="D175" s="10"/>
    </row>
    <row r="176">
      <c r="D176" s="10"/>
    </row>
    <row r="177">
      <c r="D177" s="10"/>
    </row>
    <row r="178">
      <c r="D178" s="10"/>
    </row>
    <row r="179">
      <c r="D179" s="10"/>
    </row>
    <row r="180">
      <c r="D180" s="10"/>
    </row>
    <row r="181">
      <c r="D181" s="10"/>
    </row>
    <row r="182">
      <c r="D182" s="10"/>
    </row>
    <row r="183">
      <c r="D183" s="10"/>
    </row>
    <row r="184">
      <c r="D184" s="10"/>
    </row>
    <row r="185">
      <c r="D185" s="10"/>
    </row>
    <row r="186">
      <c r="D186" s="10"/>
    </row>
    <row r="187">
      <c r="D187" s="10"/>
    </row>
    <row r="188">
      <c r="D188" s="10"/>
    </row>
    <row r="189">
      <c r="D189" s="10"/>
    </row>
    <row r="190">
      <c r="D190" s="10"/>
    </row>
    <row r="191">
      <c r="D191" s="10"/>
    </row>
    <row r="192">
      <c r="D192" s="10"/>
    </row>
    <row r="193">
      <c r="D193" s="10"/>
    </row>
    <row r="194">
      <c r="D194" s="10"/>
    </row>
    <row r="195">
      <c r="D195" s="10"/>
    </row>
    <row r="196">
      <c r="D196" s="10"/>
    </row>
    <row r="197">
      <c r="D197" s="10"/>
    </row>
    <row r="198">
      <c r="D198" s="10"/>
    </row>
    <row r="199">
      <c r="D199" s="10"/>
    </row>
    <row r="200">
      <c r="D200" s="10"/>
    </row>
    <row r="201">
      <c r="D201" s="10"/>
    </row>
    <row r="202">
      <c r="D202" s="10"/>
    </row>
    <row r="203">
      <c r="D203" s="10"/>
    </row>
    <row r="204">
      <c r="D204" s="10"/>
    </row>
    <row r="205">
      <c r="D205" s="10"/>
    </row>
    <row r="206">
      <c r="D206" s="10"/>
    </row>
    <row r="207">
      <c r="D207" s="10"/>
    </row>
    <row r="208">
      <c r="D208" s="10"/>
    </row>
    <row r="209">
      <c r="D209" s="10"/>
    </row>
    <row r="210">
      <c r="D210" s="10"/>
    </row>
    <row r="211">
      <c r="D211" s="10"/>
    </row>
    <row r="212">
      <c r="D212" s="10"/>
    </row>
    <row r="213">
      <c r="D213" s="10"/>
    </row>
    <row r="214">
      <c r="D214" s="10"/>
    </row>
    <row r="215">
      <c r="D215" s="10"/>
    </row>
    <row r="216">
      <c r="D216" s="10"/>
    </row>
    <row r="217">
      <c r="D217" s="10"/>
    </row>
    <row r="218">
      <c r="D218" s="10"/>
    </row>
    <row r="219">
      <c r="D219" s="10"/>
    </row>
    <row r="220">
      <c r="D220" s="10"/>
    </row>
    <row r="221">
      <c r="D221" s="10"/>
    </row>
    <row r="222">
      <c r="D222" s="10"/>
    </row>
    <row r="223">
      <c r="D223" s="10"/>
    </row>
    <row r="224">
      <c r="D224" s="10"/>
    </row>
    <row r="225">
      <c r="D225" s="10"/>
    </row>
    <row r="226">
      <c r="D226" s="10"/>
    </row>
    <row r="227">
      <c r="D227" s="10"/>
    </row>
    <row r="228">
      <c r="D228" s="10"/>
    </row>
    <row r="229">
      <c r="D229" s="10"/>
    </row>
    <row r="230">
      <c r="D230" s="10"/>
    </row>
    <row r="231">
      <c r="D231" s="10"/>
    </row>
    <row r="232">
      <c r="D232" s="10"/>
    </row>
    <row r="233">
      <c r="D233" s="10"/>
    </row>
    <row r="234">
      <c r="D234" s="10"/>
    </row>
    <row r="235">
      <c r="D235" s="10"/>
    </row>
    <row r="236">
      <c r="D236" s="10"/>
    </row>
    <row r="237">
      <c r="D237" s="10"/>
    </row>
    <row r="238">
      <c r="D238" s="10"/>
    </row>
    <row r="239">
      <c r="D239" s="10"/>
    </row>
    <row r="240">
      <c r="D240" s="10"/>
    </row>
    <row r="241">
      <c r="D241" s="10"/>
    </row>
    <row r="242">
      <c r="D242" s="10"/>
    </row>
    <row r="243">
      <c r="D243" s="10"/>
    </row>
    <row r="244">
      <c r="D244" s="10"/>
    </row>
    <row r="245">
      <c r="D245" s="10"/>
    </row>
    <row r="246">
      <c r="D246" s="10"/>
    </row>
    <row r="247">
      <c r="D247" s="10"/>
    </row>
    <row r="248">
      <c r="D248" s="10"/>
    </row>
    <row r="249">
      <c r="D249" s="10"/>
    </row>
    <row r="250">
      <c r="D250" s="10"/>
    </row>
    <row r="251">
      <c r="D251" s="10"/>
    </row>
    <row r="252">
      <c r="D252" s="10"/>
    </row>
    <row r="253">
      <c r="D253" s="10"/>
    </row>
    <row r="254">
      <c r="D254" s="10"/>
    </row>
    <row r="255">
      <c r="D255" s="10"/>
    </row>
    <row r="256">
      <c r="D256" s="10"/>
    </row>
    <row r="257">
      <c r="D257" s="10"/>
    </row>
    <row r="258">
      <c r="D258" s="10"/>
    </row>
    <row r="259">
      <c r="D259" s="10"/>
    </row>
    <row r="260">
      <c r="D260" s="10"/>
    </row>
    <row r="261">
      <c r="D261" s="10"/>
    </row>
    <row r="262">
      <c r="D262" s="10"/>
    </row>
    <row r="263">
      <c r="D263" s="10"/>
    </row>
    <row r="264">
      <c r="D264" s="10"/>
    </row>
    <row r="265">
      <c r="D265" s="10"/>
    </row>
    <row r="266">
      <c r="D266" s="10"/>
    </row>
    <row r="267">
      <c r="D267" s="10"/>
    </row>
    <row r="268">
      <c r="D268" s="10"/>
    </row>
    <row r="269">
      <c r="D269" s="10"/>
    </row>
    <row r="270">
      <c r="D270" s="10"/>
    </row>
    <row r="271">
      <c r="D271" s="10"/>
    </row>
    <row r="272">
      <c r="D272" s="10"/>
    </row>
    <row r="273">
      <c r="D273" s="10"/>
    </row>
    <row r="274">
      <c r="D274" s="10"/>
    </row>
    <row r="275">
      <c r="D275" s="10"/>
    </row>
    <row r="276">
      <c r="D276" s="10"/>
    </row>
    <row r="277">
      <c r="D277" s="10"/>
    </row>
    <row r="278">
      <c r="D278" s="10"/>
    </row>
    <row r="279">
      <c r="D279" s="10"/>
    </row>
    <row r="280">
      <c r="D280" s="10"/>
    </row>
    <row r="281">
      <c r="D281" s="10"/>
    </row>
    <row r="282">
      <c r="D282" s="10"/>
    </row>
    <row r="283">
      <c r="D283" s="10"/>
    </row>
    <row r="284">
      <c r="D284" s="10"/>
    </row>
    <row r="285">
      <c r="D285" s="10"/>
    </row>
    <row r="286">
      <c r="D286" s="10"/>
    </row>
    <row r="287">
      <c r="D287" s="10"/>
    </row>
    <row r="288">
      <c r="D288" s="10"/>
    </row>
    <row r="289">
      <c r="D289" s="10"/>
    </row>
    <row r="290">
      <c r="D290" s="10"/>
    </row>
    <row r="291">
      <c r="D291" s="10"/>
    </row>
    <row r="292">
      <c r="D292" s="10"/>
    </row>
    <row r="293">
      <c r="D293" s="10"/>
    </row>
    <row r="294">
      <c r="D294" s="10"/>
    </row>
    <row r="295">
      <c r="D295" s="10"/>
    </row>
    <row r="296">
      <c r="D296" s="10"/>
    </row>
    <row r="297">
      <c r="D297" s="10"/>
    </row>
    <row r="298">
      <c r="D298" s="10"/>
    </row>
    <row r="299">
      <c r="D299" s="10"/>
    </row>
    <row r="300">
      <c r="D300" s="10"/>
    </row>
    <row r="301">
      <c r="D301" s="10"/>
    </row>
    <row r="302">
      <c r="D302" s="10"/>
    </row>
    <row r="303">
      <c r="D303" s="10"/>
    </row>
    <row r="304">
      <c r="D304" s="10"/>
    </row>
    <row r="305">
      <c r="D305" s="10"/>
    </row>
    <row r="306">
      <c r="D306" s="10"/>
    </row>
    <row r="307">
      <c r="D307" s="10"/>
    </row>
    <row r="308">
      <c r="D308" s="10"/>
    </row>
    <row r="309">
      <c r="D309" s="10"/>
    </row>
    <row r="310">
      <c r="D310" s="10"/>
    </row>
    <row r="311">
      <c r="D311" s="10"/>
    </row>
    <row r="312">
      <c r="D312" s="10"/>
    </row>
    <row r="313">
      <c r="D313" s="10"/>
    </row>
    <row r="314">
      <c r="D314" s="10"/>
    </row>
    <row r="315">
      <c r="D315" s="10"/>
    </row>
    <row r="316">
      <c r="D316" s="10"/>
    </row>
    <row r="317">
      <c r="D317" s="10"/>
    </row>
    <row r="318">
      <c r="D318" s="10"/>
    </row>
    <row r="319">
      <c r="D319" s="10"/>
    </row>
    <row r="320">
      <c r="D320" s="10"/>
    </row>
    <row r="321">
      <c r="D321" s="10"/>
    </row>
    <row r="322">
      <c r="D322" s="10"/>
    </row>
    <row r="323">
      <c r="D323" s="10"/>
    </row>
    <row r="324">
      <c r="D324" s="10"/>
    </row>
    <row r="325">
      <c r="D325" s="10"/>
    </row>
    <row r="326">
      <c r="D326" s="10"/>
    </row>
    <row r="327">
      <c r="D327" s="10"/>
    </row>
    <row r="328">
      <c r="D328" s="10"/>
    </row>
    <row r="329">
      <c r="D329" s="10"/>
    </row>
    <row r="330">
      <c r="D330" s="10"/>
    </row>
    <row r="331">
      <c r="D331" s="10"/>
    </row>
    <row r="332">
      <c r="D332" s="10"/>
    </row>
    <row r="333">
      <c r="D333" s="10"/>
    </row>
    <row r="334">
      <c r="D334" s="10"/>
    </row>
    <row r="335">
      <c r="D335" s="10"/>
    </row>
    <row r="336">
      <c r="D336" s="10"/>
    </row>
    <row r="337">
      <c r="D337" s="10"/>
    </row>
    <row r="338">
      <c r="D338" s="10"/>
    </row>
    <row r="339">
      <c r="D339" s="10"/>
    </row>
    <row r="340">
      <c r="D340" s="10"/>
    </row>
    <row r="341">
      <c r="D341" s="10"/>
    </row>
    <row r="342">
      <c r="D342" s="10"/>
    </row>
    <row r="343">
      <c r="D343" s="10"/>
    </row>
    <row r="344">
      <c r="D344" s="10"/>
    </row>
    <row r="345">
      <c r="D345" s="10"/>
    </row>
    <row r="346">
      <c r="D346" s="10"/>
    </row>
    <row r="347">
      <c r="D347" s="10"/>
    </row>
    <row r="348">
      <c r="D348" s="10"/>
    </row>
    <row r="349">
      <c r="D349" s="10"/>
    </row>
    <row r="350">
      <c r="D350" s="10"/>
    </row>
    <row r="351">
      <c r="D351" s="10"/>
    </row>
    <row r="352">
      <c r="D352" s="10"/>
    </row>
    <row r="353">
      <c r="D353" s="10"/>
    </row>
    <row r="354">
      <c r="D354" s="10"/>
    </row>
    <row r="355">
      <c r="D355" s="10"/>
    </row>
    <row r="356">
      <c r="D356" s="10"/>
    </row>
    <row r="357">
      <c r="D357" s="10"/>
    </row>
    <row r="358">
      <c r="D358" s="10"/>
    </row>
    <row r="359">
      <c r="D359" s="10"/>
    </row>
    <row r="360">
      <c r="D360" s="10"/>
    </row>
    <row r="361">
      <c r="D361" s="10"/>
    </row>
    <row r="362">
      <c r="D362" s="10"/>
    </row>
    <row r="363">
      <c r="D363" s="10"/>
    </row>
    <row r="364">
      <c r="D364" s="10"/>
    </row>
    <row r="365">
      <c r="D365" s="10"/>
    </row>
    <row r="366">
      <c r="D366" s="10"/>
    </row>
    <row r="367">
      <c r="D367" s="10"/>
    </row>
    <row r="368">
      <c r="D368" s="10"/>
    </row>
    <row r="369">
      <c r="D369" s="10"/>
    </row>
    <row r="370">
      <c r="D370" s="10"/>
    </row>
    <row r="371">
      <c r="D371" s="10"/>
    </row>
    <row r="372">
      <c r="D372" s="10"/>
    </row>
    <row r="373">
      <c r="D373" s="10"/>
    </row>
    <row r="374">
      <c r="D374" s="10"/>
    </row>
    <row r="375">
      <c r="D375" s="10"/>
    </row>
    <row r="376">
      <c r="D376" s="10"/>
    </row>
    <row r="377">
      <c r="D377" s="10"/>
    </row>
    <row r="378">
      <c r="D378" s="10"/>
    </row>
    <row r="379">
      <c r="D379" s="10"/>
    </row>
    <row r="380">
      <c r="D380" s="10"/>
    </row>
    <row r="381">
      <c r="D381" s="10"/>
    </row>
    <row r="382">
      <c r="D382" s="10"/>
    </row>
    <row r="383">
      <c r="D383" s="10"/>
    </row>
    <row r="384">
      <c r="D384" s="10"/>
    </row>
    <row r="385">
      <c r="D385" s="10"/>
    </row>
    <row r="386">
      <c r="D386" s="10"/>
    </row>
    <row r="387">
      <c r="D387" s="10"/>
    </row>
    <row r="388">
      <c r="D388" s="10"/>
    </row>
    <row r="389">
      <c r="D389" s="10"/>
    </row>
    <row r="390">
      <c r="D390" s="10"/>
    </row>
    <row r="391">
      <c r="D391" s="10"/>
    </row>
    <row r="392">
      <c r="D392" s="10"/>
    </row>
    <row r="393">
      <c r="D393" s="10"/>
    </row>
    <row r="394">
      <c r="D394" s="10"/>
    </row>
    <row r="395">
      <c r="D395" s="10"/>
    </row>
    <row r="396">
      <c r="D396" s="10"/>
    </row>
    <row r="397">
      <c r="D397" s="10"/>
    </row>
    <row r="398">
      <c r="D398" s="10"/>
    </row>
    <row r="399">
      <c r="D399" s="10"/>
    </row>
    <row r="400">
      <c r="D400" s="10"/>
    </row>
    <row r="401">
      <c r="D401" s="10"/>
    </row>
    <row r="402">
      <c r="D402" s="10"/>
    </row>
    <row r="403">
      <c r="D403" s="10"/>
    </row>
    <row r="404">
      <c r="D404" s="10"/>
    </row>
    <row r="405">
      <c r="D405" s="10"/>
    </row>
    <row r="406">
      <c r="D406" s="10"/>
    </row>
    <row r="407">
      <c r="D407" s="10"/>
    </row>
    <row r="408">
      <c r="D408" s="10"/>
    </row>
    <row r="409">
      <c r="D409" s="10"/>
    </row>
    <row r="410">
      <c r="D410" s="10"/>
    </row>
    <row r="411">
      <c r="D411" s="10"/>
    </row>
    <row r="412">
      <c r="D412" s="10"/>
    </row>
    <row r="413">
      <c r="D413" s="10"/>
    </row>
    <row r="414">
      <c r="D414" s="10"/>
    </row>
    <row r="415">
      <c r="D415" s="10"/>
    </row>
    <row r="416">
      <c r="D416" s="10"/>
    </row>
    <row r="417">
      <c r="D417" s="10"/>
    </row>
    <row r="418">
      <c r="D418" s="10"/>
    </row>
    <row r="419">
      <c r="D419" s="10"/>
    </row>
    <row r="420">
      <c r="D420" s="10"/>
    </row>
    <row r="421">
      <c r="D421" s="10"/>
    </row>
    <row r="422">
      <c r="D422" s="10"/>
    </row>
    <row r="423">
      <c r="D423" s="10"/>
    </row>
    <row r="424">
      <c r="D424" s="10"/>
    </row>
    <row r="425">
      <c r="D425" s="10"/>
    </row>
    <row r="426">
      <c r="D426" s="10"/>
    </row>
    <row r="427">
      <c r="D427" s="10"/>
    </row>
    <row r="428">
      <c r="D428" s="10"/>
    </row>
    <row r="429">
      <c r="D429" s="10"/>
    </row>
    <row r="430">
      <c r="D430" s="10"/>
    </row>
    <row r="431">
      <c r="D431" s="10"/>
    </row>
    <row r="432">
      <c r="D432" s="10"/>
    </row>
    <row r="433">
      <c r="D433" s="10"/>
    </row>
    <row r="434">
      <c r="D434" s="10"/>
    </row>
    <row r="435">
      <c r="D435" s="10"/>
    </row>
    <row r="436">
      <c r="D436" s="10"/>
    </row>
    <row r="437">
      <c r="D437" s="10"/>
    </row>
    <row r="438">
      <c r="D438" s="10"/>
    </row>
    <row r="439">
      <c r="D439" s="10"/>
    </row>
    <row r="440">
      <c r="D440" s="10"/>
    </row>
    <row r="441">
      <c r="D441" s="10"/>
    </row>
    <row r="442">
      <c r="D442" s="10"/>
    </row>
    <row r="443">
      <c r="D443" s="10"/>
    </row>
    <row r="444">
      <c r="D444" s="10"/>
    </row>
    <row r="445">
      <c r="D445" s="10"/>
    </row>
    <row r="446">
      <c r="D446" s="10"/>
    </row>
    <row r="447">
      <c r="D447" s="10"/>
    </row>
    <row r="448">
      <c r="D448" s="10"/>
    </row>
    <row r="449">
      <c r="D449" s="10"/>
    </row>
    <row r="450">
      <c r="D450" s="10"/>
    </row>
    <row r="451">
      <c r="D451" s="10"/>
    </row>
    <row r="452">
      <c r="D452" s="10"/>
    </row>
    <row r="453">
      <c r="D453" s="10"/>
    </row>
    <row r="454">
      <c r="D454" s="10"/>
    </row>
    <row r="455">
      <c r="D455" s="10"/>
    </row>
    <row r="456">
      <c r="D456" s="10"/>
    </row>
    <row r="457">
      <c r="D457" s="10"/>
    </row>
    <row r="458">
      <c r="D458" s="10"/>
    </row>
    <row r="459">
      <c r="D459" s="10"/>
    </row>
    <row r="460">
      <c r="D460" s="10"/>
    </row>
    <row r="461">
      <c r="D461" s="10"/>
    </row>
    <row r="462">
      <c r="D462" s="10"/>
    </row>
    <row r="463">
      <c r="D463" s="10"/>
    </row>
    <row r="464">
      <c r="D464" s="10"/>
    </row>
    <row r="465">
      <c r="D465" s="10"/>
    </row>
    <row r="466">
      <c r="D466" s="10"/>
    </row>
    <row r="467">
      <c r="D467" s="10"/>
    </row>
    <row r="468">
      <c r="D468" s="10"/>
    </row>
    <row r="469">
      <c r="D469" s="10"/>
    </row>
    <row r="470">
      <c r="D470" s="10"/>
    </row>
    <row r="471">
      <c r="D471" s="10"/>
    </row>
    <row r="472">
      <c r="D472" s="10"/>
    </row>
    <row r="473">
      <c r="D473" s="10"/>
    </row>
    <row r="474">
      <c r="D474" s="10"/>
    </row>
    <row r="475">
      <c r="D475" s="10"/>
    </row>
    <row r="476">
      <c r="D476" s="10"/>
    </row>
    <row r="477">
      <c r="D477" s="10"/>
    </row>
    <row r="478">
      <c r="D478" s="10"/>
    </row>
    <row r="479">
      <c r="D479" s="10"/>
    </row>
    <row r="480">
      <c r="D480" s="10"/>
    </row>
    <row r="481">
      <c r="D481" s="10"/>
    </row>
    <row r="482">
      <c r="D482" s="10"/>
    </row>
    <row r="483">
      <c r="D483" s="10"/>
    </row>
    <row r="484">
      <c r="D484" s="10"/>
    </row>
    <row r="485">
      <c r="D485" s="10"/>
    </row>
    <row r="486">
      <c r="D486" s="10"/>
    </row>
    <row r="487">
      <c r="D487" s="10"/>
    </row>
    <row r="488">
      <c r="D488" s="10"/>
    </row>
    <row r="489">
      <c r="D489" s="10"/>
    </row>
    <row r="490">
      <c r="D490" s="10"/>
    </row>
    <row r="491">
      <c r="D491" s="10"/>
    </row>
    <row r="492">
      <c r="D492" s="10"/>
    </row>
    <row r="493">
      <c r="D493" s="10"/>
    </row>
    <row r="494">
      <c r="D494" s="10"/>
    </row>
    <row r="495">
      <c r="D495" s="10"/>
    </row>
    <row r="496">
      <c r="D496" s="10"/>
    </row>
    <row r="497">
      <c r="D497" s="10"/>
    </row>
    <row r="498">
      <c r="D498" s="10"/>
    </row>
    <row r="499">
      <c r="D499" s="10"/>
    </row>
    <row r="500">
      <c r="D500" s="10"/>
    </row>
    <row r="501">
      <c r="D501" s="10"/>
    </row>
    <row r="502">
      <c r="D502" s="10"/>
    </row>
    <row r="503">
      <c r="D503" s="10"/>
    </row>
    <row r="504">
      <c r="D504" s="10"/>
    </row>
    <row r="505">
      <c r="D505" s="10"/>
    </row>
    <row r="506">
      <c r="D506" s="10"/>
    </row>
    <row r="507">
      <c r="D507" s="10"/>
    </row>
    <row r="508">
      <c r="D508" s="10"/>
    </row>
    <row r="509">
      <c r="D509" s="10"/>
    </row>
    <row r="510">
      <c r="D510" s="10"/>
    </row>
    <row r="511">
      <c r="D511" s="10"/>
    </row>
    <row r="512">
      <c r="D512" s="10"/>
    </row>
    <row r="513">
      <c r="D513" s="10"/>
    </row>
    <row r="514">
      <c r="D514" s="10"/>
    </row>
    <row r="515">
      <c r="D515" s="10"/>
    </row>
    <row r="516">
      <c r="D516" s="10"/>
    </row>
    <row r="517">
      <c r="D517" s="10"/>
    </row>
    <row r="518">
      <c r="D518" s="10"/>
    </row>
    <row r="519">
      <c r="D519" s="10"/>
    </row>
    <row r="520">
      <c r="D520" s="10"/>
    </row>
    <row r="521">
      <c r="D521" s="10"/>
    </row>
    <row r="522">
      <c r="D522" s="10"/>
    </row>
    <row r="523">
      <c r="D523" s="10"/>
    </row>
    <row r="524">
      <c r="D524" s="10"/>
    </row>
    <row r="525">
      <c r="D525" s="10"/>
    </row>
    <row r="526">
      <c r="D526" s="10"/>
    </row>
    <row r="527">
      <c r="D527" s="10"/>
    </row>
    <row r="528">
      <c r="D528" s="10"/>
    </row>
    <row r="529">
      <c r="D529" s="10"/>
    </row>
    <row r="530">
      <c r="D530" s="10"/>
    </row>
    <row r="531">
      <c r="D531" s="10"/>
    </row>
    <row r="532">
      <c r="D532" s="10"/>
    </row>
    <row r="533">
      <c r="D533" s="10"/>
    </row>
    <row r="534">
      <c r="D534" s="10"/>
    </row>
    <row r="535">
      <c r="D535" s="10"/>
    </row>
    <row r="536">
      <c r="D536" s="10"/>
    </row>
    <row r="537">
      <c r="D537" s="10"/>
    </row>
    <row r="538">
      <c r="D538" s="10"/>
    </row>
    <row r="539">
      <c r="D539" s="10"/>
    </row>
    <row r="540">
      <c r="D540" s="10"/>
    </row>
    <row r="541">
      <c r="D541" s="10"/>
    </row>
    <row r="542">
      <c r="D542" s="10"/>
    </row>
    <row r="543">
      <c r="D543" s="10"/>
    </row>
    <row r="544">
      <c r="D544" s="10"/>
    </row>
    <row r="545">
      <c r="D545" s="10"/>
    </row>
    <row r="546">
      <c r="D546" s="10"/>
    </row>
    <row r="547">
      <c r="D547" s="10"/>
    </row>
    <row r="548">
      <c r="D548" s="10"/>
    </row>
    <row r="549">
      <c r="D549" s="10"/>
    </row>
    <row r="550">
      <c r="D550" s="10"/>
    </row>
    <row r="551">
      <c r="D551" s="10"/>
    </row>
    <row r="552">
      <c r="D552" s="10"/>
    </row>
    <row r="553">
      <c r="D553" s="10"/>
    </row>
    <row r="554">
      <c r="D554" s="10"/>
    </row>
    <row r="555">
      <c r="D555" s="10"/>
    </row>
    <row r="556">
      <c r="D556" s="10"/>
    </row>
    <row r="557">
      <c r="D557" s="10"/>
    </row>
    <row r="558">
      <c r="D558" s="10"/>
    </row>
    <row r="559">
      <c r="D559" s="10"/>
    </row>
    <row r="560">
      <c r="D560" s="10"/>
    </row>
    <row r="561">
      <c r="D561" s="10"/>
    </row>
    <row r="562">
      <c r="D562" s="10"/>
    </row>
    <row r="563">
      <c r="D563" s="10"/>
    </row>
    <row r="564">
      <c r="D564" s="10"/>
    </row>
    <row r="565">
      <c r="D565" s="10"/>
    </row>
    <row r="566">
      <c r="D566" s="10"/>
    </row>
    <row r="567">
      <c r="D567" s="10"/>
    </row>
    <row r="568">
      <c r="D568" s="10"/>
    </row>
    <row r="569">
      <c r="D569" s="10"/>
    </row>
    <row r="570">
      <c r="D570" s="10"/>
    </row>
    <row r="571">
      <c r="D571" s="10"/>
    </row>
    <row r="572">
      <c r="D572" s="10"/>
    </row>
    <row r="573">
      <c r="D573" s="10"/>
    </row>
    <row r="574">
      <c r="D574" s="10"/>
    </row>
    <row r="575">
      <c r="D575" s="10"/>
    </row>
    <row r="576">
      <c r="D576" s="10"/>
    </row>
    <row r="577">
      <c r="D577" s="10"/>
    </row>
    <row r="578">
      <c r="D578" s="10"/>
    </row>
    <row r="579">
      <c r="D579" s="10"/>
    </row>
    <row r="580">
      <c r="D580" s="10"/>
    </row>
    <row r="581">
      <c r="D581" s="10"/>
    </row>
    <row r="582">
      <c r="D582" s="10"/>
    </row>
    <row r="583">
      <c r="D583" s="10"/>
    </row>
    <row r="584">
      <c r="D584" s="10"/>
    </row>
    <row r="585">
      <c r="D585" s="10"/>
    </row>
    <row r="586">
      <c r="D586" s="10"/>
    </row>
    <row r="587">
      <c r="D587" s="10"/>
    </row>
    <row r="588">
      <c r="D588" s="10"/>
    </row>
    <row r="589">
      <c r="D589" s="10"/>
    </row>
    <row r="590">
      <c r="D590" s="10"/>
    </row>
    <row r="591">
      <c r="D591" s="10"/>
    </row>
    <row r="592">
      <c r="D592" s="10"/>
    </row>
    <row r="593">
      <c r="D593" s="10"/>
    </row>
    <row r="594">
      <c r="D594" s="10"/>
    </row>
    <row r="595">
      <c r="D595" s="10"/>
    </row>
    <row r="596">
      <c r="D596" s="10"/>
    </row>
    <row r="597">
      <c r="D597" s="10"/>
    </row>
    <row r="598">
      <c r="D598" s="10"/>
    </row>
    <row r="599">
      <c r="D599" s="10"/>
    </row>
    <row r="600">
      <c r="D600" s="10"/>
    </row>
    <row r="601">
      <c r="D601" s="10"/>
    </row>
    <row r="602">
      <c r="D602" s="10"/>
    </row>
    <row r="603">
      <c r="D603" s="10"/>
    </row>
    <row r="604">
      <c r="D604" s="10"/>
    </row>
    <row r="605">
      <c r="D605" s="10"/>
    </row>
    <row r="606">
      <c r="D606" s="10"/>
    </row>
    <row r="607">
      <c r="D607" s="10"/>
    </row>
    <row r="608">
      <c r="D608" s="10"/>
    </row>
    <row r="609">
      <c r="D609" s="10"/>
    </row>
    <row r="610">
      <c r="D610" s="10"/>
    </row>
    <row r="611">
      <c r="D611" s="10"/>
    </row>
    <row r="612">
      <c r="D612" s="10"/>
    </row>
    <row r="613">
      <c r="D613" s="10"/>
    </row>
    <row r="614">
      <c r="D614" s="10"/>
    </row>
    <row r="615">
      <c r="D615" s="10"/>
    </row>
    <row r="616">
      <c r="D616" s="10"/>
    </row>
    <row r="617">
      <c r="D617" s="10"/>
    </row>
    <row r="618">
      <c r="D618" s="10"/>
    </row>
    <row r="619">
      <c r="D619" s="10"/>
    </row>
    <row r="620">
      <c r="D620" s="10"/>
    </row>
    <row r="621">
      <c r="D621" s="10"/>
    </row>
    <row r="622">
      <c r="D622" s="10"/>
    </row>
    <row r="623">
      <c r="D623" s="10"/>
    </row>
    <row r="624">
      <c r="D624" s="10"/>
    </row>
    <row r="625">
      <c r="D625" s="10"/>
    </row>
    <row r="626">
      <c r="D626" s="10"/>
    </row>
    <row r="627">
      <c r="D627" s="10"/>
    </row>
    <row r="628">
      <c r="D628" s="10"/>
    </row>
    <row r="629">
      <c r="D629" s="10"/>
    </row>
    <row r="630">
      <c r="D630" s="10"/>
    </row>
    <row r="631">
      <c r="D631" s="10"/>
    </row>
    <row r="632">
      <c r="D632" s="10"/>
    </row>
    <row r="633">
      <c r="D633" s="10"/>
    </row>
    <row r="634">
      <c r="D634" s="10"/>
    </row>
    <row r="635">
      <c r="D635" s="10"/>
    </row>
    <row r="636">
      <c r="D636" s="10"/>
    </row>
    <row r="637">
      <c r="D637" s="10"/>
    </row>
    <row r="638">
      <c r="D638" s="10"/>
    </row>
    <row r="639">
      <c r="D639" s="10"/>
    </row>
    <row r="640">
      <c r="D640" s="10"/>
    </row>
    <row r="641">
      <c r="D641" s="10"/>
    </row>
    <row r="642">
      <c r="D642" s="10"/>
    </row>
    <row r="643">
      <c r="D643" s="10"/>
    </row>
    <row r="644">
      <c r="D644" s="10"/>
    </row>
    <row r="645">
      <c r="D645" s="10"/>
    </row>
    <row r="646">
      <c r="D646" s="10"/>
    </row>
    <row r="647">
      <c r="D647" s="10"/>
    </row>
    <row r="648">
      <c r="D648" s="10"/>
    </row>
    <row r="649">
      <c r="D649" s="10"/>
    </row>
    <row r="650">
      <c r="D650" s="10"/>
    </row>
    <row r="651">
      <c r="D651" s="10"/>
    </row>
    <row r="652">
      <c r="D652" s="10"/>
    </row>
    <row r="653">
      <c r="D653" s="10"/>
    </row>
    <row r="654">
      <c r="D654" s="10"/>
    </row>
    <row r="655">
      <c r="D655" s="10"/>
    </row>
    <row r="656">
      <c r="D656" s="10"/>
    </row>
    <row r="657">
      <c r="D657" s="10"/>
    </row>
    <row r="658">
      <c r="D658" s="10"/>
    </row>
    <row r="659">
      <c r="D659" s="10"/>
    </row>
    <row r="660">
      <c r="D660" s="10"/>
    </row>
    <row r="661">
      <c r="D661" s="10"/>
    </row>
    <row r="662">
      <c r="D662" s="10"/>
    </row>
    <row r="663">
      <c r="D663" s="10"/>
    </row>
    <row r="664">
      <c r="D664" s="10"/>
    </row>
    <row r="665">
      <c r="D665" s="10"/>
    </row>
    <row r="666">
      <c r="D666" s="10"/>
    </row>
    <row r="667">
      <c r="D667" s="10"/>
    </row>
    <row r="668">
      <c r="D668" s="10"/>
    </row>
    <row r="669">
      <c r="D669" s="10"/>
    </row>
    <row r="670">
      <c r="D670" s="10"/>
    </row>
    <row r="671">
      <c r="D671" s="10"/>
    </row>
    <row r="672">
      <c r="D672" s="10"/>
    </row>
    <row r="673">
      <c r="D673" s="10"/>
    </row>
    <row r="674">
      <c r="D674" s="10"/>
    </row>
    <row r="675">
      <c r="D675" s="10"/>
    </row>
    <row r="676">
      <c r="D676" s="10"/>
    </row>
    <row r="677">
      <c r="D677" s="10"/>
    </row>
    <row r="678">
      <c r="D678" s="10"/>
    </row>
    <row r="679">
      <c r="D679" s="10"/>
    </row>
    <row r="680">
      <c r="D680" s="10"/>
    </row>
    <row r="681">
      <c r="D681" s="10"/>
    </row>
    <row r="682">
      <c r="D682" s="10"/>
    </row>
    <row r="683">
      <c r="D683" s="10"/>
    </row>
    <row r="684">
      <c r="D684" s="10"/>
    </row>
    <row r="685">
      <c r="D685" s="10"/>
    </row>
    <row r="686">
      <c r="D686" s="10"/>
    </row>
    <row r="687">
      <c r="D687" s="10"/>
    </row>
    <row r="688">
      <c r="D688" s="10"/>
    </row>
    <row r="689">
      <c r="D689" s="10"/>
    </row>
    <row r="690">
      <c r="D690" s="10"/>
    </row>
    <row r="691">
      <c r="D691" s="10"/>
    </row>
    <row r="692">
      <c r="D692" s="10"/>
    </row>
    <row r="693">
      <c r="D693" s="10"/>
    </row>
    <row r="694">
      <c r="D694" s="10"/>
    </row>
    <row r="695">
      <c r="D695" s="10"/>
    </row>
    <row r="696">
      <c r="D696" s="10"/>
    </row>
    <row r="697">
      <c r="D697" s="10"/>
    </row>
    <row r="698">
      <c r="D698" s="10"/>
    </row>
    <row r="699">
      <c r="D699" s="10"/>
    </row>
    <row r="700">
      <c r="D700" s="10"/>
    </row>
    <row r="701">
      <c r="D701" s="10"/>
    </row>
    <row r="702">
      <c r="D702" s="10"/>
    </row>
    <row r="703">
      <c r="D703" s="10"/>
    </row>
    <row r="704">
      <c r="D704" s="10"/>
    </row>
    <row r="705">
      <c r="D705" s="10"/>
    </row>
    <row r="706">
      <c r="D706" s="10"/>
    </row>
    <row r="707">
      <c r="D707" s="10"/>
    </row>
    <row r="708">
      <c r="D708" s="10"/>
    </row>
    <row r="709">
      <c r="D709" s="10"/>
    </row>
    <row r="710">
      <c r="D710" s="10"/>
    </row>
    <row r="711">
      <c r="D711" s="10"/>
    </row>
    <row r="712">
      <c r="D712" s="10"/>
    </row>
    <row r="713">
      <c r="D713" s="10"/>
    </row>
    <row r="714">
      <c r="D714" s="10"/>
    </row>
    <row r="715">
      <c r="D715" s="10"/>
    </row>
    <row r="716">
      <c r="D716" s="10"/>
    </row>
    <row r="717">
      <c r="D717" s="10"/>
    </row>
    <row r="718">
      <c r="D718" s="10"/>
    </row>
    <row r="719">
      <c r="D719" s="10"/>
    </row>
    <row r="720">
      <c r="D720" s="10"/>
    </row>
    <row r="721">
      <c r="D721" s="10"/>
    </row>
    <row r="722">
      <c r="D722" s="10"/>
    </row>
    <row r="723">
      <c r="D723" s="10"/>
    </row>
    <row r="724">
      <c r="D724" s="10"/>
    </row>
    <row r="725">
      <c r="D725" s="10"/>
    </row>
    <row r="726">
      <c r="D726" s="10"/>
    </row>
    <row r="727">
      <c r="D727" s="10"/>
    </row>
    <row r="728">
      <c r="D728" s="10"/>
    </row>
    <row r="729">
      <c r="D729" s="10"/>
    </row>
    <row r="730">
      <c r="D730" s="10"/>
    </row>
    <row r="731">
      <c r="D731" s="10"/>
    </row>
    <row r="732">
      <c r="D732" s="10"/>
    </row>
    <row r="733">
      <c r="D733" s="10"/>
    </row>
    <row r="734">
      <c r="D734" s="10"/>
    </row>
    <row r="735">
      <c r="D735" s="10"/>
    </row>
    <row r="736">
      <c r="D736" s="10"/>
    </row>
    <row r="737">
      <c r="D737" s="10"/>
    </row>
    <row r="738">
      <c r="D738" s="10"/>
    </row>
    <row r="739">
      <c r="D739" s="10"/>
    </row>
    <row r="740">
      <c r="D740" s="10"/>
    </row>
    <row r="741">
      <c r="D741" s="10"/>
    </row>
    <row r="742">
      <c r="D742" s="10"/>
    </row>
    <row r="743">
      <c r="D743" s="10"/>
    </row>
    <row r="744">
      <c r="D744" s="10"/>
    </row>
    <row r="745">
      <c r="D745" s="10"/>
    </row>
    <row r="746">
      <c r="D746" s="10"/>
    </row>
    <row r="747">
      <c r="D747" s="10"/>
    </row>
    <row r="748">
      <c r="D748" s="10"/>
    </row>
    <row r="749">
      <c r="D749" s="10"/>
    </row>
    <row r="750">
      <c r="D750" s="10"/>
    </row>
    <row r="751">
      <c r="D751" s="10"/>
    </row>
    <row r="752">
      <c r="D752" s="10"/>
    </row>
    <row r="753">
      <c r="D753" s="10"/>
    </row>
    <row r="754">
      <c r="D754" s="10"/>
    </row>
    <row r="755">
      <c r="D755" s="10"/>
    </row>
    <row r="756">
      <c r="D756" s="10"/>
    </row>
    <row r="757">
      <c r="D757" s="10"/>
    </row>
    <row r="758">
      <c r="D758" s="10"/>
    </row>
    <row r="759">
      <c r="D759" s="10"/>
    </row>
    <row r="760">
      <c r="D760" s="10"/>
    </row>
    <row r="761">
      <c r="D761" s="10"/>
    </row>
    <row r="762">
      <c r="D762" s="10"/>
    </row>
    <row r="763">
      <c r="D763" s="10"/>
    </row>
    <row r="764">
      <c r="D764" s="10"/>
    </row>
    <row r="765">
      <c r="D765" s="10"/>
    </row>
    <row r="766">
      <c r="D766" s="10"/>
    </row>
    <row r="767">
      <c r="D767" s="10"/>
    </row>
    <row r="768">
      <c r="D768" s="10"/>
    </row>
    <row r="769">
      <c r="D769" s="10"/>
    </row>
    <row r="770">
      <c r="D770" s="10"/>
    </row>
    <row r="771">
      <c r="D771" s="10"/>
    </row>
    <row r="772">
      <c r="D772" s="10"/>
    </row>
    <row r="773">
      <c r="D773" s="10"/>
    </row>
    <row r="774">
      <c r="D774" s="10"/>
    </row>
    <row r="775">
      <c r="D775" s="10"/>
    </row>
    <row r="776">
      <c r="D776" s="10"/>
    </row>
    <row r="777">
      <c r="D777" s="10"/>
    </row>
    <row r="778">
      <c r="D778" s="10"/>
    </row>
    <row r="779">
      <c r="D779" s="10"/>
    </row>
    <row r="780">
      <c r="D780" s="10"/>
    </row>
    <row r="781">
      <c r="D781" s="10"/>
    </row>
    <row r="782">
      <c r="D782" s="10"/>
    </row>
    <row r="783">
      <c r="D783" s="10"/>
    </row>
    <row r="784">
      <c r="D784" s="10"/>
    </row>
    <row r="785">
      <c r="D785" s="10"/>
    </row>
    <row r="786">
      <c r="D786" s="10"/>
    </row>
    <row r="787">
      <c r="D787" s="10"/>
    </row>
    <row r="788">
      <c r="D788" s="10"/>
    </row>
    <row r="789">
      <c r="D789" s="10"/>
    </row>
    <row r="790">
      <c r="D790" s="10"/>
    </row>
    <row r="791">
      <c r="D791" s="10"/>
    </row>
    <row r="792">
      <c r="D792" s="10"/>
    </row>
    <row r="793">
      <c r="D793" s="10"/>
    </row>
    <row r="794">
      <c r="D794" s="10"/>
    </row>
    <row r="795">
      <c r="D795" s="10"/>
    </row>
    <row r="796">
      <c r="D796" s="10"/>
    </row>
    <row r="797">
      <c r="D797" s="10"/>
    </row>
    <row r="798">
      <c r="D798" s="10"/>
    </row>
    <row r="799">
      <c r="D799" s="10"/>
    </row>
    <row r="800">
      <c r="D800" s="10"/>
    </row>
    <row r="801">
      <c r="D801" s="10"/>
    </row>
    <row r="802">
      <c r="D802" s="10"/>
    </row>
    <row r="803">
      <c r="D803" s="10"/>
    </row>
    <row r="804">
      <c r="D804" s="10"/>
    </row>
    <row r="805">
      <c r="D805" s="10"/>
    </row>
    <row r="806">
      <c r="D806" s="10"/>
    </row>
    <row r="807">
      <c r="D807" s="10"/>
    </row>
    <row r="808">
      <c r="D808" s="10"/>
    </row>
    <row r="809">
      <c r="D809" s="10"/>
    </row>
    <row r="810">
      <c r="D810" s="10"/>
    </row>
    <row r="811">
      <c r="D811" s="10"/>
    </row>
    <row r="812">
      <c r="D812" s="10"/>
    </row>
    <row r="813">
      <c r="D813" s="10"/>
    </row>
    <row r="814">
      <c r="D814" s="10"/>
    </row>
    <row r="815">
      <c r="D815" s="10"/>
    </row>
    <row r="816">
      <c r="D816" s="10"/>
    </row>
    <row r="817">
      <c r="D817" s="10"/>
    </row>
    <row r="818">
      <c r="D818" s="10"/>
    </row>
    <row r="819">
      <c r="D819" s="10"/>
    </row>
    <row r="820">
      <c r="D820" s="10"/>
    </row>
    <row r="821">
      <c r="D821" s="10"/>
    </row>
    <row r="822">
      <c r="D822" s="10"/>
    </row>
    <row r="823">
      <c r="D823" s="10"/>
    </row>
    <row r="824">
      <c r="D824" s="10"/>
    </row>
    <row r="825">
      <c r="D825" s="10"/>
    </row>
    <row r="826">
      <c r="D826" s="10"/>
    </row>
    <row r="827">
      <c r="D827" s="10"/>
    </row>
    <row r="828">
      <c r="D828" s="10"/>
    </row>
    <row r="829">
      <c r="D829" s="10"/>
    </row>
    <row r="830">
      <c r="D830" s="10"/>
    </row>
    <row r="831">
      <c r="D831" s="10"/>
    </row>
    <row r="832">
      <c r="D832" s="10"/>
    </row>
    <row r="833">
      <c r="D833" s="10"/>
    </row>
    <row r="834">
      <c r="D834" s="10"/>
    </row>
    <row r="835">
      <c r="D835" s="10"/>
    </row>
    <row r="836">
      <c r="D836" s="10"/>
    </row>
    <row r="837">
      <c r="D837" s="10"/>
    </row>
    <row r="838">
      <c r="D838" s="10"/>
    </row>
    <row r="839">
      <c r="D839" s="10"/>
    </row>
    <row r="840">
      <c r="D840" s="10"/>
    </row>
    <row r="841">
      <c r="D841" s="10"/>
    </row>
    <row r="842">
      <c r="D842" s="10"/>
    </row>
    <row r="843">
      <c r="D843" s="10"/>
    </row>
    <row r="844">
      <c r="D844" s="10"/>
    </row>
    <row r="845">
      <c r="D845" s="10"/>
    </row>
    <row r="846">
      <c r="D846" s="10"/>
    </row>
    <row r="847">
      <c r="D847" s="10"/>
    </row>
    <row r="848">
      <c r="D848" s="10"/>
    </row>
    <row r="849">
      <c r="D849" s="10"/>
    </row>
    <row r="850">
      <c r="D850" s="10"/>
    </row>
    <row r="851">
      <c r="D851" s="10"/>
    </row>
    <row r="852">
      <c r="D852" s="10"/>
    </row>
    <row r="853">
      <c r="D853" s="10"/>
    </row>
    <row r="854">
      <c r="D854" s="10"/>
    </row>
    <row r="855">
      <c r="D855" s="10"/>
    </row>
    <row r="856">
      <c r="D856" s="10"/>
    </row>
    <row r="857">
      <c r="D857" s="10"/>
    </row>
    <row r="858">
      <c r="D858" s="10"/>
    </row>
    <row r="859">
      <c r="D859" s="10"/>
    </row>
    <row r="860">
      <c r="D860" s="10"/>
    </row>
    <row r="861">
      <c r="D861" s="10"/>
    </row>
    <row r="862">
      <c r="D862" s="10"/>
    </row>
    <row r="863">
      <c r="D863" s="10"/>
    </row>
    <row r="864">
      <c r="D864" s="10"/>
    </row>
    <row r="865">
      <c r="D865" s="10"/>
    </row>
    <row r="866">
      <c r="D866" s="10"/>
    </row>
    <row r="867">
      <c r="D867" s="10"/>
    </row>
    <row r="868">
      <c r="D868" s="10"/>
    </row>
    <row r="869">
      <c r="D869" s="10"/>
    </row>
    <row r="870">
      <c r="D870" s="10"/>
    </row>
    <row r="871">
      <c r="D871" s="10"/>
    </row>
    <row r="872">
      <c r="D872" s="10"/>
    </row>
    <row r="873">
      <c r="D873" s="10"/>
    </row>
    <row r="874">
      <c r="D874" s="10"/>
    </row>
    <row r="875">
      <c r="D875" s="10"/>
    </row>
    <row r="876">
      <c r="D876" s="10"/>
    </row>
    <row r="877">
      <c r="D877" s="10"/>
    </row>
    <row r="878">
      <c r="D878" s="10"/>
    </row>
    <row r="879">
      <c r="D879" s="10"/>
    </row>
    <row r="880">
      <c r="D880" s="10"/>
    </row>
    <row r="881">
      <c r="D881" s="10"/>
    </row>
    <row r="882">
      <c r="D882" s="10"/>
    </row>
    <row r="883">
      <c r="D883" s="10"/>
    </row>
    <row r="884">
      <c r="D884" s="10"/>
    </row>
    <row r="885">
      <c r="D885" s="10"/>
    </row>
    <row r="886">
      <c r="D886" s="10"/>
    </row>
    <row r="887">
      <c r="D887" s="10"/>
    </row>
    <row r="888">
      <c r="D888" s="10"/>
    </row>
    <row r="889">
      <c r="D889" s="10"/>
    </row>
    <row r="890">
      <c r="D890" s="10"/>
    </row>
    <row r="891">
      <c r="D891" s="10"/>
    </row>
    <row r="892">
      <c r="D892" s="10"/>
    </row>
    <row r="893">
      <c r="D893" s="10"/>
    </row>
    <row r="894">
      <c r="D894" s="10"/>
    </row>
    <row r="895">
      <c r="D895" s="10"/>
    </row>
    <row r="896">
      <c r="D896" s="10"/>
    </row>
    <row r="897">
      <c r="D897" s="10"/>
    </row>
    <row r="898">
      <c r="D898" s="10"/>
    </row>
    <row r="899">
      <c r="D899" s="10"/>
    </row>
    <row r="900">
      <c r="D900" s="10"/>
    </row>
    <row r="901">
      <c r="D901" s="10"/>
    </row>
    <row r="902">
      <c r="D902" s="10"/>
    </row>
    <row r="903">
      <c r="D903" s="10"/>
    </row>
    <row r="904">
      <c r="D904" s="10"/>
    </row>
    <row r="905">
      <c r="D905" s="10"/>
    </row>
    <row r="906">
      <c r="D906" s="10"/>
    </row>
    <row r="907">
      <c r="D907" s="10"/>
    </row>
    <row r="908">
      <c r="D908" s="10"/>
    </row>
    <row r="909">
      <c r="D909" s="10"/>
    </row>
    <row r="910">
      <c r="D910" s="10"/>
    </row>
    <row r="911">
      <c r="D911" s="10"/>
    </row>
    <row r="912">
      <c r="D912" s="10"/>
    </row>
    <row r="913">
      <c r="D913" s="10"/>
    </row>
    <row r="914">
      <c r="D914" s="10"/>
    </row>
    <row r="915">
      <c r="D915" s="10"/>
    </row>
    <row r="916">
      <c r="D916" s="10"/>
    </row>
    <row r="917">
      <c r="D917" s="10"/>
    </row>
    <row r="918">
      <c r="D918" s="10"/>
    </row>
    <row r="919">
      <c r="D919" s="10"/>
    </row>
    <row r="920">
      <c r="D920" s="10"/>
    </row>
    <row r="921">
      <c r="D921" s="10"/>
    </row>
    <row r="922">
      <c r="D922" s="10"/>
    </row>
    <row r="923">
      <c r="D923" s="10"/>
    </row>
    <row r="924">
      <c r="D924" s="10"/>
    </row>
    <row r="925">
      <c r="D925" s="10"/>
    </row>
    <row r="926">
      <c r="D926" s="10"/>
    </row>
    <row r="927">
      <c r="D927" s="10"/>
    </row>
    <row r="928">
      <c r="D928" s="10"/>
    </row>
    <row r="929">
      <c r="D929" s="10"/>
    </row>
    <row r="930">
      <c r="D930" s="10"/>
    </row>
    <row r="931">
      <c r="D931" s="10"/>
    </row>
    <row r="932">
      <c r="D932" s="10"/>
    </row>
    <row r="933">
      <c r="D933" s="10"/>
    </row>
    <row r="934">
      <c r="D934" s="10"/>
    </row>
    <row r="935">
      <c r="D935" s="10"/>
    </row>
    <row r="936">
      <c r="D936" s="10"/>
    </row>
    <row r="937">
      <c r="D937" s="10"/>
    </row>
    <row r="938">
      <c r="D938" s="10"/>
    </row>
    <row r="939">
      <c r="D939" s="10"/>
    </row>
    <row r="940">
      <c r="D940" s="10"/>
    </row>
    <row r="941">
      <c r="D941" s="10"/>
    </row>
    <row r="942">
      <c r="D942" s="10"/>
    </row>
    <row r="943">
      <c r="D943" s="10"/>
    </row>
    <row r="944">
      <c r="D944" s="10"/>
    </row>
    <row r="945">
      <c r="D945" s="10"/>
    </row>
    <row r="946">
      <c r="D946" s="10"/>
    </row>
    <row r="947">
      <c r="D947" s="10"/>
    </row>
    <row r="948">
      <c r="D948" s="10"/>
    </row>
    <row r="949">
      <c r="D949" s="10"/>
    </row>
    <row r="950">
      <c r="D950" s="10"/>
    </row>
    <row r="951">
      <c r="D951" s="10"/>
    </row>
    <row r="952">
      <c r="D952" s="10"/>
    </row>
    <row r="953">
      <c r="D953" s="10"/>
    </row>
    <row r="954">
      <c r="D954" s="10"/>
    </row>
    <row r="955">
      <c r="D955" s="10"/>
    </row>
    <row r="956">
      <c r="D956" s="10"/>
    </row>
    <row r="957">
      <c r="D957" s="10"/>
    </row>
    <row r="958">
      <c r="D958" s="10"/>
    </row>
    <row r="959">
      <c r="D959" s="10"/>
    </row>
    <row r="960">
      <c r="D960" s="10"/>
    </row>
    <row r="961">
      <c r="D961" s="10"/>
    </row>
    <row r="962">
      <c r="D962" s="10"/>
    </row>
    <row r="963">
      <c r="D963" s="10"/>
    </row>
    <row r="964">
      <c r="D964" s="10"/>
    </row>
    <row r="965">
      <c r="D965" s="10"/>
    </row>
    <row r="966">
      <c r="D966" s="10"/>
    </row>
    <row r="967">
      <c r="D967" s="10"/>
    </row>
    <row r="968">
      <c r="D968" s="10"/>
    </row>
    <row r="969">
      <c r="D969" s="10"/>
    </row>
    <row r="970">
      <c r="D970" s="10"/>
    </row>
    <row r="971">
      <c r="D971" s="10"/>
    </row>
    <row r="972">
      <c r="D972" s="10"/>
    </row>
    <row r="973">
      <c r="D973" s="10"/>
    </row>
    <row r="974">
      <c r="D974" s="10"/>
    </row>
    <row r="975">
      <c r="D975" s="10"/>
    </row>
    <row r="976">
      <c r="D976" s="10"/>
    </row>
    <row r="977">
      <c r="D977" s="10"/>
    </row>
    <row r="978">
      <c r="D978" s="10"/>
    </row>
    <row r="979">
      <c r="D979" s="10"/>
    </row>
    <row r="980">
      <c r="D980" s="10"/>
    </row>
    <row r="981">
      <c r="D981" s="10"/>
    </row>
    <row r="982">
      <c r="D982" s="10"/>
    </row>
    <row r="983">
      <c r="D983" s="10"/>
    </row>
    <row r="984">
      <c r="D984" s="10"/>
    </row>
    <row r="985">
      <c r="D985" s="10"/>
    </row>
    <row r="986">
      <c r="D986" s="10"/>
    </row>
    <row r="987">
      <c r="D987" s="10"/>
    </row>
    <row r="988">
      <c r="D988" s="10"/>
    </row>
    <row r="989">
      <c r="D989" s="10"/>
    </row>
    <row r="990">
      <c r="D990" s="10"/>
    </row>
    <row r="991">
      <c r="D991" s="10"/>
    </row>
    <row r="992">
      <c r="D992" s="10"/>
    </row>
    <row r="993">
      <c r="D993" s="10"/>
    </row>
    <row r="994">
      <c r="D994" s="10"/>
    </row>
    <row r="995">
      <c r="D995" s="10"/>
    </row>
    <row r="996">
      <c r="D996" s="10"/>
    </row>
    <row r="997">
      <c r="D997" s="10"/>
    </row>
    <row r="998">
      <c r="D998" s="10"/>
    </row>
    <row r="999">
      <c r="D999" s="10"/>
    </row>
    <row r="1000">
      <c r="D1000" s="10"/>
    </row>
    <row r="1001">
      <c r="D1001" s="10"/>
    </row>
  </sheetData>
  <hyperlinks>
    <hyperlink r:id="rId1" ref="D10"/>
    <hyperlink r:id="rId2" ref="D13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.88"/>
    <col customWidth="1" min="3" max="3" width="24.0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2" t="s">
        <v>5</v>
      </c>
      <c r="F1" s="1" t="s">
        <v>6</v>
      </c>
      <c r="G1" s="1" t="s">
        <v>7</v>
      </c>
      <c r="H1" s="3" t="s">
        <v>8</v>
      </c>
      <c r="I1" s="1" t="s">
        <v>9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4"/>
      <c r="S1" s="4"/>
      <c r="T1" s="4"/>
      <c r="U1" s="4"/>
      <c r="V1" s="4"/>
      <c r="W1" s="4"/>
      <c r="X1" s="4"/>
      <c r="Y1" s="4"/>
      <c r="Z1" s="4"/>
    </row>
    <row r="2">
      <c r="A2" s="7" t="s">
        <v>20</v>
      </c>
      <c r="B2" s="7"/>
      <c r="C2" s="9" t="s">
        <v>21</v>
      </c>
      <c r="D2" s="9" t="s">
        <v>22</v>
      </c>
      <c r="E2" s="10"/>
      <c r="F2" s="11"/>
      <c r="G2" s="11"/>
      <c r="H2" s="8" t="s">
        <v>24</v>
      </c>
      <c r="I2" s="11"/>
    </row>
    <row r="3">
      <c r="A3" s="7" t="s">
        <v>25</v>
      </c>
      <c r="B3" s="13"/>
      <c r="C3" s="13" t="s">
        <v>27</v>
      </c>
      <c r="D3" s="13" t="s">
        <v>28</v>
      </c>
      <c r="E3" s="14" t="s">
        <v>29</v>
      </c>
      <c r="F3" s="11"/>
      <c r="G3" s="11"/>
      <c r="H3" s="15"/>
      <c r="I3" s="11"/>
    </row>
    <row r="4">
      <c r="A4" s="7" t="s">
        <v>31</v>
      </c>
      <c r="B4" s="13"/>
      <c r="C4" s="13" t="s">
        <v>32</v>
      </c>
      <c r="D4" s="13" t="s">
        <v>33</v>
      </c>
      <c r="E4" s="14" t="s">
        <v>34</v>
      </c>
      <c r="F4" s="11"/>
      <c r="G4" s="11"/>
      <c r="H4" s="17">
        <v>2533.0</v>
      </c>
      <c r="I4" s="11"/>
    </row>
    <row r="5">
      <c r="A5" s="7" t="s">
        <v>37</v>
      </c>
      <c r="B5" s="13"/>
      <c r="C5" s="13" t="s">
        <v>38</v>
      </c>
      <c r="D5" s="13" t="s">
        <v>41</v>
      </c>
      <c r="E5" s="14" t="s">
        <v>42</v>
      </c>
      <c r="F5" s="11"/>
      <c r="G5" s="11"/>
      <c r="H5" s="17">
        <v>2546.0</v>
      </c>
      <c r="I5" s="11"/>
    </row>
    <row r="6">
      <c r="A6" s="7" t="s">
        <v>43</v>
      </c>
      <c r="B6" s="13"/>
      <c r="C6" s="13" t="s">
        <v>44</v>
      </c>
      <c r="D6" s="9" t="s">
        <v>45</v>
      </c>
      <c r="E6" s="14" t="s">
        <v>48</v>
      </c>
      <c r="F6" s="18">
        <v>1.0</v>
      </c>
      <c r="G6" s="11"/>
      <c r="H6" s="19"/>
      <c r="I6" s="11"/>
    </row>
    <row r="7">
      <c r="A7" s="7" t="s">
        <v>51</v>
      </c>
      <c r="B7" s="7"/>
      <c r="C7" s="9" t="s">
        <v>54</v>
      </c>
      <c r="D7" s="9" t="s">
        <v>55</v>
      </c>
      <c r="E7" s="14"/>
      <c r="F7" s="18">
        <v>1.0</v>
      </c>
      <c r="G7" s="18">
        <v>184.0</v>
      </c>
      <c r="H7" s="20"/>
      <c r="I7" s="11"/>
      <c r="J7" s="7">
        <v>15.5</v>
      </c>
      <c r="K7" s="7">
        <v>32.5</v>
      </c>
      <c r="L7" s="7">
        <v>39.25</v>
      </c>
      <c r="M7" s="7">
        <v>14.0</v>
      </c>
      <c r="N7" s="7">
        <v>13.5</v>
      </c>
      <c r="O7" s="7">
        <v>22.25</v>
      </c>
      <c r="P7" s="7">
        <v>23.0</v>
      </c>
      <c r="Q7" s="7">
        <v>48.0</v>
      </c>
    </row>
    <row r="8">
      <c r="A8" s="7" t="s">
        <v>57</v>
      </c>
      <c r="B8" s="7"/>
      <c r="C8" s="9" t="s">
        <v>45</v>
      </c>
      <c r="D8" s="13" t="s">
        <v>59</v>
      </c>
      <c r="E8" s="10"/>
      <c r="F8" s="18">
        <v>1.0</v>
      </c>
      <c r="G8" s="11"/>
      <c r="H8" s="22"/>
      <c r="I8" s="11"/>
    </row>
    <row r="9">
      <c r="A9" s="1" t="s">
        <v>63</v>
      </c>
      <c r="B9" s="1"/>
      <c r="C9" s="1" t="s">
        <v>3</v>
      </c>
      <c r="D9" s="1" t="s">
        <v>4</v>
      </c>
      <c r="E9" s="2" t="s">
        <v>5</v>
      </c>
      <c r="F9" s="1" t="s">
        <v>6</v>
      </c>
      <c r="G9" s="1" t="s">
        <v>7</v>
      </c>
      <c r="H9" s="2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7" t="s">
        <v>20</v>
      </c>
      <c r="B10" s="25"/>
      <c r="C10" s="13" t="s">
        <v>67</v>
      </c>
      <c r="D10" s="9" t="s">
        <v>45</v>
      </c>
      <c r="E10" s="26" t="s">
        <v>68</v>
      </c>
      <c r="H10" s="27"/>
    </row>
    <row r="11">
      <c r="A11" s="7" t="s">
        <v>25</v>
      </c>
      <c r="B11" s="13"/>
      <c r="C11" s="13" t="s">
        <v>70</v>
      </c>
      <c r="D11" s="5"/>
      <c r="E11" s="14" t="s">
        <v>71</v>
      </c>
      <c r="H11" s="27"/>
    </row>
    <row r="12">
      <c r="A12" s="7" t="s">
        <v>31</v>
      </c>
      <c r="B12" s="18"/>
      <c r="C12" s="13" t="s">
        <v>72</v>
      </c>
      <c r="D12" s="9" t="str">
        <f>IFERROR(__xludf.DUMMYFUNCTION("AI(""Fill an appropriate value for this cell based on the table context"")"),"Rest/Recovery")</f>
        <v>Rest/Recovery</v>
      </c>
      <c r="E12" s="14"/>
      <c r="H12" s="27"/>
    </row>
    <row r="13">
      <c r="A13" s="7" t="s">
        <v>37</v>
      </c>
      <c r="B13" s="13"/>
      <c r="C13" s="13" t="s">
        <v>76</v>
      </c>
      <c r="D13" s="5"/>
      <c r="E13" s="7" t="s">
        <v>77</v>
      </c>
      <c r="H13" s="27"/>
    </row>
    <row r="14">
      <c r="A14" s="7" t="s">
        <v>43</v>
      </c>
      <c r="B14" s="13"/>
      <c r="C14" s="25"/>
      <c r="D14" s="9" t="str">
        <f>IFERROR(__xludf.DUMMYFUNCTION("AI(""Fill an appropriate value for this cell based on the table context"")"),"Rest/Walk")</f>
        <v>Rest/Walk</v>
      </c>
      <c r="E14" s="14" t="s">
        <v>78</v>
      </c>
      <c r="H14" s="27"/>
    </row>
    <row r="15">
      <c r="A15" s="7" t="s">
        <v>51</v>
      </c>
      <c r="B15" s="18"/>
      <c r="C15" s="13" t="s">
        <v>79</v>
      </c>
      <c r="D15" s="9" t="str">
        <f>IFERROR(__xludf.DUMMYFUNCTION("AI(""Fill an appropriate value for this cell based on the table context"")"),"Resting or hiking post-workout recovery")</f>
        <v>Resting or hiking post-workout recovery</v>
      </c>
      <c r="E15" s="14" t="s">
        <v>80</v>
      </c>
      <c r="H15" s="21" t="s">
        <v>81</v>
      </c>
    </row>
    <row r="16">
      <c r="A16" s="7" t="s">
        <v>57</v>
      </c>
      <c r="B16" s="18"/>
      <c r="C16" s="13" t="s">
        <v>82</v>
      </c>
      <c r="D16" s="13" t="s">
        <v>83</v>
      </c>
      <c r="E16" s="14"/>
      <c r="H16" s="27"/>
    </row>
    <row r="17">
      <c r="A17" s="1" t="s">
        <v>84</v>
      </c>
      <c r="B17" s="1" t="s">
        <v>2</v>
      </c>
      <c r="C17" s="1" t="s">
        <v>3</v>
      </c>
      <c r="D17" s="1" t="s">
        <v>4</v>
      </c>
      <c r="E17" s="2" t="s">
        <v>5</v>
      </c>
      <c r="F17" s="1" t="s">
        <v>6</v>
      </c>
      <c r="G17" s="1" t="s">
        <v>7</v>
      </c>
      <c r="H17" s="2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7" t="s">
        <v>20</v>
      </c>
      <c r="B18" s="13"/>
      <c r="C18" s="13" t="s">
        <v>85</v>
      </c>
      <c r="D18" s="9" t="s">
        <v>45</v>
      </c>
      <c r="E18" s="14" t="s">
        <v>86</v>
      </c>
      <c r="H18" s="21"/>
    </row>
    <row r="19">
      <c r="A19" s="7" t="s">
        <v>25</v>
      </c>
      <c r="B19" s="5"/>
      <c r="C19" s="13" t="s">
        <v>87</v>
      </c>
      <c r="D19" s="13" t="s">
        <v>33</v>
      </c>
      <c r="E19" s="14" t="s">
        <v>88</v>
      </c>
      <c r="H19" s="27"/>
    </row>
    <row r="20">
      <c r="A20" s="7" t="s">
        <v>31</v>
      </c>
      <c r="B20" s="13"/>
      <c r="C20" s="13" t="s">
        <v>89</v>
      </c>
      <c r="D20" s="9" t="s">
        <v>45</v>
      </c>
      <c r="E20" s="7" t="s">
        <v>90</v>
      </c>
      <c r="H20" s="21"/>
    </row>
    <row r="21">
      <c r="A21" s="7" t="s">
        <v>37</v>
      </c>
      <c r="B21" s="13"/>
      <c r="C21" s="13" t="s">
        <v>76</v>
      </c>
      <c r="D21" s="13" t="s">
        <v>91</v>
      </c>
      <c r="E21" s="14" t="s">
        <v>92</v>
      </c>
      <c r="H21" s="27"/>
    </row>
    <row r="22">
      <c r="A22" s="7" t="s">
        <v>43</v>
      </c>
      <c r="B22" s="5"/>
      <c r="C22" s="13" t="s">
        <v>93</v>
      </c>
      <c r="D22" s="9" t="s">
        <v>94</v>
      </c>
      <c r="E22" s="14" t="s">
        <v>95</v>
      </c>
      <c r="H22" s="27"/>
    </row>
    <row r="23">
      <c r="A23" s="7" t="s">
        <v>51</v>
      </c>
      <c r="B23" s="7"/>
      <c r="C23" s="13" t="s">
        <v>96</v>
      </c>
      <c r="D23" s="13" t="s">
        <v>97</v>
      </c>
      <c r="E23" s="14" t="s">
        <v>98</v>
      </c>
      <c r="H23" s="27"/>
    </row>
    <row r="24">
      <c r="A24" s="7" t="s">
        <v>57</v>
      </c>
      <c r="B24" s="7"/>
      <c r="C24" s="13" t="s">
        <v>100</v>
      </c>
      <c r="D24" s="13" t="s">
        <v>101</v>
      </c>
      <c r="E24" s="14"/>
      <c r="H24" s="27"/>
    </row>
    <row r="25">
      <c r="A25" s="1" t="s">
        <v>103</v>
      </c>
      <c r="B25" s="1" t="s">
        <v>2</v>
      </c>
      <c r="C25" s="1" t="s">
        <v>3</v>
      </c>
      <c r="D25" s="1" t="s">
        <v>4</v>
      </c>
      <c r="E25" s="2" t="s">
        <v>5</v>
      </c>
      <c r="F25" s="1" t="s">
        <v>6</v>
      </c>
      <c r="G25" s="1" t="s">
        <v>7</v>
      </c>
      <c r="H25" s="2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7" t="s">
        <v>20</v>
      </c>
      <c r="B26" s="13"/>
      <c r="C26" s="13" t="s">
        <v>117</v>
      </c>
      <c r="D26" s="13" t="s">
        <v>118</v>
      </c>
      <c r="E26" s="32" t="s">
        <v>119</v>
      </c>
      <c r="H26" s="27"/>
    </row>
    <row r="27">
      <c r="A27" s="7" t="s">
        <v>25</v>
      </c>
      <c r="B27" s="13"/>
      <c r="C27" s="13" t="str">
        <f>IFERROR(__xludf.DUMMYFUNCTION("AI(""Fill an appropriate value for this cell based on the table context"")"),"Lower Body/Abs")</f>
        <v>Lower Body/Abs</v>
      </c>
      <c r="D27" s="13" t="s">
        <v>124</v>
      </c>
      <c r="E27" s="34" t="s">
        <v>125</v>
      </c>
      <c r="H27" s="21"/>
    </row>
    <row r="28">
      <c r="A28" s="7" t="s">
        <v>31</v>
      </c>
      <c r="B28" s="13"/>
      <c r="C28" s="13" t="s">
        <v>127</v>
      </c>
      <c r="D28" s="13" t="s">
        <v>128</v>
      </c>
      <c r="E28" s="14" t="s">
        <v>129</v>
      </c>
      <c r="H28" s="35"/>
    </row>
    <row r="29">
      <c r="A29" s="7" t="s">
        <v>37</v>
      </c>
      <c r="B29" s="13"/>
      <c r="C29" s="13" t="s">
        <v>76</v>
      </c>
      <c r="D29" s="9" t="s">
        <v>130</v>
      </c>
      <c r="E29" s="14" t="s">
        <v>131</v>
      </c>
      <c r="F29" s="7">
        <v>1.0</v>
      </c>
      <c r="H29" s="35"/>
    </row>
    <row r="30">
      <c r="A30" s="7" t="s">
        <v>43</v>
      </c>
      <c r="B30" s="13"/>
      <c r="C30" s="13" t="s">
        <v>133</v>
      </c>
      <c r="D30" s="7" t="str">
        <f>IFERROR(__xludf.DUMMYFUNCTION("AI(""Fill an appropriate value for this cell based on the table context"")"),"Rest")</f>
        <v>Rest</v>
      </c>
      <c r="E30" s="14" t="s">
        <v>134</v>
      </c>
      <c r="H30" s="27"/>
    </row>
    <row r="31">
      <c r="A31" s="7" t="s">
        <v>51</v>
      </c>
      <c r="B31" s="7"/>
      <c r="C31" s="13" t="s">
        <v>135</v>
      </c>
      <c r="D31" s="7"/>
      <c r="E31" s="10"/>
      <c r="H31" s="27"/>
    </row>
    <row r="32">
      <c r="A32" s="7" t="s">
        <v>57</v>
      </c>
      <c r="B32" s="7"/>
      <c r="C32" s="13" t="s">
        <v>136</v>
      </c>
      <c r="D32" s="7"/>
      <c r="E32" s="10"/>
      <c r="H32" s="27"/>
    </row>
    <row r="33">
      <c r="A33" s="36">
        <v>46227.0</v>
      </c>
      <c r="B33" s="1"/>
      <c r="C33" s="1" t="s">
        <v>3</v>
      </c>
      <c r="D33" s="1" t="s">
        <v>4</v>
      </c>
      <c r="E33" s="2" t="s">
        <v>5</v>
      </c>
      <c r="F33" s="1" t="s">
        <v>137</v>
      </c>
      <c r="G33" s="1" t="s">
        <v>7</v>
      </c>
      <c r="H33" s="24"/>
      <c r="I33" s="1" t="s">
        <v>139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7" t="s">
        <v>20</v>
      </c>
      <c r="B34" s="7"/>
      <c r="C34" s="13" t="s">
        <v>145</v>
      </c>
      <c r="D34" s="7"/>
      <c r="E34" s="14"/>
      <c r="H34" s="27"/>
    </row>
    <row r="35">
      <c r="A35" s="7" t="s">
        <v>25</v>
      </c>
      <c r="B35" s="13"/>
      <c r="C35" s="13" t="s">
        <v>67</v>
      </c>
      <c r="D35" s="7"/>
      <c r="E35" s="14" t="s">
        <v>149</v>
      </c>
      <c r="H35" s="27"/>
    </row>
    <row r="36">
      <c r="A36" s="7" t="s">
        <v>31</v>
      </c>
      <c r="B36" s="13"/>
      <c r="C36" s="5"/>
      <c r="D36" s="13" t="s">
        <v>155</v>
      </c>
      <c r="E36" s="26"/>
      <c r="H36" s="27"/>
    </row>
    <row r="37">
      <c r="A37" s="7" t="s">
        <v>37</v>
      </c>
      <c r="B37" s="13"/>
      <c r="C37" s="13" t="s">
        <v>157</v>
      </c>
      <c r="D37" s="7"/>
      <c r="E37" s="26" t="s">
        <v>159</v>
      </c>
      <c r="H37" s="27"/>
    </row>
    <row r="38">
      <c r="A38" s="7" t="s">
        <v>43</v>
      </c>
      <c r="B38" s="7"/>
      <c r="C38" s="23"/>
      <c r="D38" s="13" t="s">
        <v>160</v>
      </c>
      <c r="E38" s="14" t="s">
        <v>161</v>
      </c>
      <c r="H38" s="27"/>
    </row>
    <row r="39">
      <c r="A39" s="7" t="s">
        <v>51</v>
      </c>
      <c r="B39" s="7"/>
      <c r="C39" s="9"/>
      <c r="D39" s="13" t="s">
        <v>163</v>
      </c>
      <c r="E39" s="14" t="s">
        <v>164</v>
      </c>
      <c r="H39" s="27"/>
    </row>
    <row r="40">
      <c r="A40" s="7" t="s">
        <v>57</v>
      </c>
      <c r="B40" s="7"/>
      <c r="C40" s="9"/>
      <c r="D40" s="13" t="s">
        <v>166</v>
      </c>
      <c r="E40" s="14" t="s">
        <v>135</v>
      </c>
      <c r="H40" s="27"/>
    </row>
    <row r="41">
      <c r="A41" s="1" t="s">
        <v>167</v>
      </c>
      <c r="B41" s="1"/>
      <c r="C41" s="1"/>
      <c r="D41" s="1"/>
      <c r="E41" s="39"/>
      <c r="F41" s="1"/>
      <c r="G41" s="4"/>
      <c r="H41" s="2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7" t="s">
        <v>20</v>
      </c>
      <c r="B42" s="13"/>
      <c r="C42" s="13" t="s">
        <v>141</v>
      </c>
      <c r="D42" s="13" t="s">
        <v>170</v>
      </c>
      <c r="E42" s="33" t="s">
        <v>172</v>
      </c>
      <c r="F42" s="40"/>
      <c r="G42" s="40"/>
      <c r="H42" s="42"/>
      <c r="I42" s="40"/>
      <c r="J42" s="40"/>
      <c r="K42" s="40"/>
      <c r="L42" s="7"/>
      <c r="M42" s="7"/>
      <c r="N42" s="10"/>
      <c r="P42" s="7">
        <v>176.0</v>
      </c>
      <c r="Q42" s="16"/>
      <c r="R42" s="7">
        <v>64.0</v>
      </c>
    </row>
    <row r="43">
      <c r="A43" s="7" t="s">
        <v>25</v>
      </c>
      <c r="B43" s="13"/>
      <c r="C43" s="13" t="s">
        <v>99</v>
      </c>
      <c r="D43" s="43"/>
      <c r="E43" s="30" t="s">
        <v>178</v>
      </c>
      <c r="F43" s="40"/>
      <c r="G43" s="40"/>
      <c r="H43" s="42"/>
      <c r="I43" s="40"/>
      <c r="J43" s="40"/>
      <c r="K43" s="40"/>
      <c r="L43" s="7"/>
      <c r="M43" s="7"/>
      <c r="N43" s="10"/>
      <c r="Q43" s="16"/>
    </row>
    <row r="44">
      <c r="A44" s="7" t="s">
        <v>31</v>
      </c>
      <c r="B44" s="13"/>
      <c r="C44" s="13" t="s">
        <v>183</v>
      </c>
      <c r="D44" s="7" t="s">
        <v>185</v>
      </c>
      <c r="E44" s="30" t="s">
        <v>187</v>
      </c>
      <c r="F44" s="40"/>
      <c r="G44" s="40"/>
      <c r="H44" s="42"/>
      <c r="I44" s="40"/>
      <c r="J44" s="40"/>
      <c r="K44" s="40"/>
      <c r="L44" s="7"/>
      <c r="M44" s="7"/>
      <c r="N44" s="10"/>
      <c r="Q44" s="16"/>
    </row>
    <row r="45">
      <c r="A45" s="7" t="s">
        <v>37</v>
      </c>
      <c r="B45" s="7"/>
      <c r="C45" s="13" t="s">
        <v>188</v>
      </c>
      <c r="D45" s="13" t="s">
        <v>190</v>
      </c>
      <c r="E45" s="33" t="s">
        <v>192</v>
      </c>
      <c r="F45" s="40"/>
      <c r="G45" s="40"/>
      <c r="H45" s="44"/>
      <c r="I45" s="40"/>
      <c r="J45" s="40"/>
      <c r="K45" s="40"/>
      <c r="L45" s="7"/>
      <c r="M45" s="7"/>
      <c r="N45" s="10"/>
      <c r="Q45" s="9"/>
    </row>
    <row r="46">
      <c r="A46" s="7" t="s">
        <v>43</v>
      </c>
      <c r="B46" s="7"/>
      <c r="C46" s="5"/>
      <c r="F46" s="45"/>
      <c r="G46" s="40"/>
      <c r="H46" s="42"/>
      <c r="I46" s="40"/>
      <c r="J46" s="40"/>
      <c r="K46" s="40"/>
      <c r="L46" s="7"/>
      <c r="M46" s="7"/>
      <c r="N46" s="14"/>
      <c r="Q46" s="16"/>
    </row>
    <row r="47">
      <c r="A47" s="7" t="s">
        <v>51</v>
      </c>
      <c r="B47" s="7"/>
      <c r="C47" s="7"/>
      <c r="E47" s="30"/>
      <c r="F47" s="45"/>
      <c r="G47" s="40"/>
      <c r="H47" s="44"/>
      <c r="I47" s="40"/>
      <c r="J47" s="40"/>
      <c r="K47" s="40"/>
      <c r="L47" s="7"/>
      <c r="M47" s="7"/>
      <c r="N47" s="14"/>
      <c r="Q47" s="25"/>
      <c r="S47" s="45" t="s">
        <v>94</v>
      </c>
    </row>
    <row r="48">
      <c r="A48" s="7" t="s">
        <v>57</v>
      </c>
      <c r="B48" s="7"/>
      <c r="C48" s="7"/>
      <c r="D48" s="7"/>
      <c r="E48" s="47"/>
      <c r="F48" s="40"/>
      <c r="G48" s="45"/>
      <c r="H48" s="42"/>
      <c r="I48" s="40"/>
      <c r="J48" s="40"/>
      <c r="K48" s="40"/>
      <c r="L48" s="7"/>
      <c r="M48" s="7"/>
      <c r="N48" s="10"/>
      <c r="Q48" s="16"/>
    </row>
    <row r="49">
      <c r="A49" s="1" t="s">
        <v>66</v>
      </c>
      <c r="B49" s="1"/>
      <c r="C49" s="1"/>
      <c r="D49" s="1"/>
      <c r="E49" s="2"/>
      <c r="F49" s="1"/>
      <c r="G49" s="1"/>
      <c r="H49" s="24"/>
      <c r="I49" s="4"/>
      <c r="J49" s="4"/>
      <c r="K49" s="1"/>
      <c r="L49" s="1"/>
      <c r="M49" s="1"/>
      <c r="N49" s="2"/>
      <c r="O49" s="1"/>
      <c r="P49" s="1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7" t="s">
        <v>20</v>
      </c>
      <c r="B50" s="13"/>
      <c r="C50" s="13" t="s">
        <v>141</v>
      </c>
      <c r="E50" s="7" t="s">
        <v>213</v>
      </c>
      <c r="F50" s="40"/>
      <c r="G50" s="40"/>
      <c r="H50" s="27"/>
      <c r="I50" s="40"/>
      <c r="J50" s="40"/>
      <c r="K50" s="40"/>
      <c r="L50" s="7"/>
      <c r="M50" s="7"/>
      <c r="N50" s="26"/>
      <c r="Q50" s="16"/>
    </row>
    <row r="51">
      <c r="A51" s="7" t="s">
        <v>25</v>
      </c>
      <c r="B51" s="13"/>
      <c r="C51" s="13" t="s">
        <v>99</v>
      </c>
      <c r="D51" s="48"/>
      <c r="E51" s="30" t="s">
        <v>224</v>
      </c>
      <c r="F51" s="40"/>
      <c r="G51" s="40"/>
      <c r="H51" s="21"/>
      <c r="I51" s="40"/>
      <c r="J51" s="40"/>
      <c r="K51" s="40"/>
      <c r="L51" s="7"/>
      <c r="M51" s="7"/>
      <c r="N51" s="14"/>
      <c r="Q51" s="9"/>
    </row>
    <row r="52">
      <c r="A52" s="7" t="s">
        <v>31</v>
      </c>
      <c r="B52" s="13"/>
      <c r="C52" s="13" t="s">
        <v>183</v>
      </c>
      <c r="D52" s="13" t="s">
        <v>228</v>
      </c>
      <c r="E52" s="7" t="s">
        <v>229</v>
      </c>
      <c r="F52" s="40"/>
      <c r="G52" s="40"/>
      <c r="H52" s="42"/>
      <c r="I52" s="40"/>
      <c r="J52" s="40"/>
      <c r="K52" s="40"/>
      <c r="L52" s="7"/>
      <c r="M52" s="7"/>
      <c r="N52" s="14"/>
      <c r="Q52" s="16"/>
    </row>
    <row r="53">
      <c r="A53" s="7" t="s">
        <v>37</v>
      </c>
      <c r="B53" s="13"/>
      <c r="C53" s="13" t="s">
        <v>188</v>
      </c>
      <c r="D53" s="13" t="s">
        <v>228</v>
      </c>
      <c r="E53" s="30" t="s">
        <v>232</v>
      </c>
      <c r="F53" s="40"/>
      <c r="G53" s="40"/>
      <c r="H53" s="44"/>
      <c r="I53" s="40"/>
      <c r="J53" s="40"/>
      <c r="K53" s="40"/>
      <c r="L53" s="7"/>
      <c r="M53" s="7"/>
      <c r="N53" s="26"/>
      <c r="Q53" s="9"/>
    </row>
    <row r="54">
      <c r="A54" s="7" t="s">
        <v>43</v>
      </c>
      <c r="B54" s="34" t="s">
        <v>233</v>
      </c>
      <c r="C54" s="13" t="s">
        <v>235</v>
      </c>
      <c r="E54" s="7" t="s">
        <v>238</v>
      </c>
      <c r="F54" s="40"/>
      <c r="G54" s="40"/>
      <c r="H54" s="44"/>
      <c r="I54" s="40"/>
      <c r="J54" s="40"/>
      <c r="K54" s="40"/>
      <c r="L54" s="7"/>
      <c r="M54" s="7"/>
      <c r="N54" s="14"/>
      <c r="Q54" s="13"/>
    </row>
    <row r="55">
      <c r="A55" s="7" t="s">
        <v>51</v>
      </c>
      <c r="B55" s="13"/>
      <c r="C55" s="13" t="s">
        <v>240</v>
      </c>
      <c r="D55" s="13" t="s">
        <v>241</v>
      </c>
      <c r="E55" s="30" t="s">
        <v>243</v>
      </c>
      <c r="F55" s="40"/>
      <c r="G55" s="40"/>
      <c r="H55" s="44"/>
      <c r="I55" s="40"/>
      <c r="J55" s="40"/>
      <c r="K55" s="40"/>
      <c r="L55" s="7"/>
      <c r="M55" s="7"/>
      <c r="N55" s="14"/>
      <c r="Q55" s="9"/>
    </row>
    <row r="56">
      <c r="A56" s="7" t="s">
        <v>57</v>
      </c>
      <c r="B56" s="45"/>
      <c r="C56" s="45"/>
      <c r="D56" s="13" t="s">
        <v>246</v>
      </c>
      <c r="E56" s="30"/>
      <c r="F56" s="40"/>
      <c r="G56" s="40"/>
      <c r="H56" s="44"/>
      <c r="I56" s="40"/>
      <c r="J56" s="40"/>
      <c r="K56" s="40"/>
      <c r="L56" s="7"/>
      <c r="M56" s="7"/>
      <c r="N56" s="14"/>
      <c r="Q56" s="38"/>
    </row>
    <row r="57">
      <c r="A57" s="1" t="s">
        <v>168</v>
      </c>
      <c r="B57" s="1"/>
      <c r="C57" s="1"/>
      <c r="D57" s="1"/>
      <c r="E57" s="2"/>
      <c r="F57" s="1"/>
      <c r="G57" s="1"/>
      <c r="H57" s="24"/>
      <c r="I57" s="4"/>
      <c r="J57" s="4"/>
      <c r="K57" s="1"/>
      <c r="L57" s="1"/>
      <c r="M57" s="1"/>
      <c r="N57" s="2"/>
      <c r="O57" s="1"/>
      <c r="P57" s="1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B58" s="45"/>
      <c r="C58" s="45"/>
      <c r="D58" s="45"/>
      <c r="E58" s="30"/>
      <c r="F58" s="40"/>
      <c r="G58" s="40"/>
      <c r="H58" s="44"/>
      <c r="I58" s="40"/>
      <c r="J58" s="40"/>
      <c r="K58" s="40"/>
      <c r="L58" s="7"/>
      <c r="M58" s="7"/>
      <c r="N58" s="14"/>
      <c r="Q58" s="9"/>
    </row>
    <row r="59">
      <c r="B59" s="45"/>
      <c r="C59" s="45"/>
      <c r="D59" s="45"/>
      <c r="E59" s="30"/>
      <c r="F59" s="40"/>
      <c r="G59" s="40"/>
      <c r="H59" s="42"/>
      <c r="I59" s="40"/>
      <c r="J59" s="40"/>
      <c r="K59" s="40"/>
      <c r="L59" s="7"/>
      <c r="M59" s="7"/>
      <c r="N59" s="14"/>
      <c r="Q59" s="16"/>
    </row>
    <row r="60">
      <c r="B60" s="45"/>
      <c r="C60" s="45"/>
      <c r="D60" s="45"/>
      <c r="E60" s="30"/>
      <c r="F60" s="40"/>
      <c r="G60" s="40"/>
      <c r="H60" s="44"/>
      <c r="I60" s="40"/>
      <c r="J60" s="40"/>
      <c r="K60" s="40"/>
      <c r="L60" s="7"/>
      <c r="M60" s="7"/>
      <c r="N60" s="14"/>
      <c r="Q60" s="9"/>
    </row>
    <row r="61">
      <c r="B61" s="45"/>
      <c r="C61" s="45"/>
      <c r="D61" s="45"/>
      <c r="E61" s="33"/>
      <c r="F61" s="40"/>
      <c r="G61" s="40"/>
      <c r="H61" s="42"/>
      <c r="I61" s="40"/>
      <c r="J61" s="40"/>
      <c r="K61" s="40"/>
      <c r="L61" s="7"/>
      <c r="M61" s="7"/>
      <c r="N61" s="14"/>
      <c r="Q61" s="16"/>
    </row>
    <row r="62">
      <c r="B62" s="45"/>
      <c r="C62" s="45"/>
      <c r="D62" s="45"/>
      <c r="E62" s="30"/>
      <c r="F62" s="40"/>
      <c r="G62" s="40"/>
      <c r="H62" s="42"/>
      <c r="I62" s="40"/>
      <c r="J62" s="40"/>
      <c r="K62" s="40"/>
      <c r="L62" s="7"/>
      <c r="M62" s="7"/>
      <c r="N62" s="14"/>
      <c r="Q62" s="16"/>
    </row>
    <row r="63">
      <c r="A63" s="7" t="s">
        <v>51</v>
      </c>
      <c r="B63" s="45"/>
      <c r="C63" s="45"/>
      <c r="D63" s="45"/>
      <c r="E63" s="30"/>
      <c r="F63" s="40"/>
      <c r="G63" s="40"/>
      <c r="H63" s="42"/>
      <c r="I63" s="40"/>
      <c r="J63" s="40"/>
      <c r="K63" s="40"/>
      <c r="L63" s="7"/>
      <c r="M63" s="7"/>
      <c r="N63" s="14"/>
      <c r="Q63" s="16"/>
    </row>
    <row r="64">
      <c r="A64" s="7" t="s">
        <v>57</v>
      </c>
      <c r="B64" s="45"/>
      <c r="C64" s="45"/>
      <c r="D64" s="45"/>
      <c r="E64" s="30"/>
      <c r="F64" s="40"/>
      <c r="G64" s="40"/>
      <c r="H64" s="42"/>
      <c r="I64" s="40"/>
      <c r="J64" s="40"/>
      <c r="K64" s="40"/>
      <c r="L64" s="7"/>
      <c r="M64" s="7"/>
      <c r="N64" s="14"/>
      <c r="Q64" s="16"/>
    </row>
    <row r="65">
      <c r="A65" s="1" t="s">
        <v>223</v>
      </c>
      <c r="B65" s="1"/>
      <c r="C65" s="1"/>
      <c r="D65" s="1"/>
      <c r="E65" s="2"/>
      <c r="F65" s="1"/>
      <c r="G65" s="1"/>
      <c r="H65" s="24"/>
      <c r="I65" s="4"/>
      <c r="J65" s="4"/>
      <c r="K65" s="1"/>
      <c r="L65" s="1"/>
      <c r="M65" s="1"/>
      <c r="N65" s="2"/>
      <c r="O65" s="1"/>
      <c r="P65" s="1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7" t="s">
        <v>20</v>
      </c>
      <c r="B66" s="45"/>
      <c r="C66" s="45"/>
      <c r="D66" s="45"/>
      <c r="E66" s="30"/>
      <c r="F66" s="40"/>
      <c r="G66" s="40"/>
      <c r="H66" s="42"/>
      <c r="I66" s="40"/>
      <c r="J66" s="40"/>
      <c r="K66" s="40"/>
      <c r="L66" s="7"/>
      <c r="M66" s="7"/>
      <c r="N66" s="14"/>
      <c r="Q66" s="16"/>
    </row>
    <row r="67">
      <c r="A67" s="7" t="s">
        <v>25</v>
      </c>
      <c r="B67" s="45"/>
      <c r="C67" s="45"/>
      <c r="D67" s="45"/>
      <c r="E67" s="30"/>
      <c r="F67" s="40"/>
      <c r="G67" s="40"/>
      <c r="H67" s="44"/>
      <c r="I67" s="40"/>
      <c r="J67" s="40"/>
      <c r="K67" s="40"/>
      <c r="L67" s="7"/>
      <c r="M67" s="7"/>
      <c r="N67" s="14"/>
      <c r="Q67" s="9"/>
    </row>
    <row r="68">
      <c r="A68" s="7" t="s">
        <v>31</v>
      </c>
      <c r="B68" s="45"/>
      <c r="C68" s="45"/>
      <c r="D68" s="45"/>
      <c r="E68" s="30"/>
      <c r="F68" s="40"/>
      <c r="G68" s="40"/>
      <c r="H68" s="42"/>
      <c r="I68" s="40"/>
      <c r="J68" s="40"/>
      <c r="K68" s="40"/>
      <c r="L68" s="7"/>
      <c r="M68" s="7"/>
      <c r="N68" s="14"/>
      <c r="Q68" s="16"/>
    </row>
    <row r="69">
      <c r="A69" s="7" t="s">
        <v>37</v>
      </c>
      <c r="B69" s="45"/>
      <c r="C69" s="45"/>
      <c r="D69" s="45"/>
      <c r="E69" s="30"/>
      <c r="F69" s="40"/>
      <c r="G69" s="40"/>
      <c r="H69" s="42"/>
      <c r="I69" s="40"/>
      <c r="J69" s="40"/>
      <c r="K69" s="40"/>
      <c r="L69" s="7"/>
      <c r="M69" s="7"/>
      <c r="N69" s="14"/>
      <c r="Q69" s="16"/>
    </row>
    <row r="70">
      <c r="A70" s="7" t="s">
        <v>43</v>
      </c>
      <c r="B70" s="45"/>
      <c r="C70" s="45"/>
      <c r="D70" s="45"/>
      <c r="E70" s="30"/>
      <c r="F70" s="40"/>
      <c r="G70" s="40"/>
      <c r="H70" s="42"/>
      <c r="I70" s="40"/>
      <c r="J70" s="40"/>
      <c r="K70" s="40"/>
      <c r="L70" s="7"/>
      <c r="M70" s="7"/>
      <c r="N70" s="14"/>
      <c r="Q70" s="23"/>
    </row>
    <row r="71">
      <c r="A71" s="7" t="s">
        <v>51</v>
      </c>
      <c r="B71" s="45"/>
      <c r="C71" s="45"/>
      <c r="D71" s="45"/>
      <c r="E71" s="47"/>
      <c r="F71" s="40"/>
      <c r="G71" s="40"/>
      <c r="H71" s="42"/>
      <c r="I71" s="40"/>
      <c r="J71" s="40"/>
      <c r="K71" s="40"/>
      <c r="L71" s="7"/>
      <c r="M71" s="7"/>
      <c r="N71" s="10"/>
      <c r="Q71" s="16"/>
    </row>
    <row r="72">
      <c r="A72" s="7" t="s">
        <v>57</v>
      </c>
      <c r="B72" s="45"/>
      <c r="C72" s="45"/>
      <c r="D72" s="45"/>
      <c r="E72" s="47"/>
      <c r="F72" s="40"/>
      <c r="G72" s="40"/>
      <c r="H72" s="42"/>
      <c r="I72" s="40"/>
      <c r="J72" s="40"/>
      <c r="K72" s="40"/>
      <c r="L72" s="7"/>
      <c r="M72" s="7"/>
      <c r="N72" s="10"/>
      <c r="Q72" s="16"/>
    </row>
    <row r="73">
      <c r="A73" s="1" t="s">
        <v>262</v>
      </c>
      <c r="B73" s="1"/>
      <c r="C73" s="1"/>
      <c r="D73" s="1"/>
      <c r="E73" s="2"/>
      <c r="F73" s="1"/>
      <c r="G73" s="1"/>
      <c r="H73" s="24"/>
      <c r="I73" s="1"/>
      <c r="J73" s="4"/>
      <c r="K73" s="1"/>
      <c r="L73" s="1"/>
      <c r="M73" s="1"/>
      <c r="N73" s="2"/>
      <c r="O73" s="1"/>
      <c r="P73" s="1"/>
      <c r="Q73" s="4"/>
      <c r="R73" s="1"/>
      <c r="S73" s="4"/>
      <c r="T73" s="4"/>
      <c r="U73" s="4"/>
      <c r="V73" s="4"/>
      <c r="W73" s="4"/>
      <c r="X73" s="4"/>
      <c r="Y73" s="4"/>
      <c r="Z73" s="4"/>
    </row>
    <row r="74">
      <c r="A74" s="7" t="s">
        <v>20</v>
      </c>
      <c r="B74" s="45"/>
      <c r="C74" s="45"/>
      <c r="D74" s="45"/>
      <c r="E74" s="30"/>
      <c r="F74" s="40"/>
      <c r="G74" s="40"/>
      <c r="H74" s="42"/>
      <c r="I74" s="40"/>
      <c r="J74" s="40"/>
      <c r="K74" s="40"/>
      <c r="L74" s="7"/>
      <c r="M74" s="7"/>
      <c r="N74" s="14"/>
      <c r="Q74" s="16"/>
    </row>
    <row r="75">
      <c r="A75" s="7" t="s">
        <v>25</v>
      </c>
      <c r="B75" s="45"/>
      <c r="C75" s="45"/>
      <c r="D75" s="45"/>
      <c r="E75" s="47"/>
      <c r="F75" s="40"/>
      <c r="G75" s="40"/>
      <c r="H75" s="42"/>
      <c r="I75" s="40"/>
      <c r="J75" s="40"/>
      <c r="K75" s="40"/>
      <c r="L75" s="7"/>
      <c r="M75" s="7"/>
      <c r="N75" s="10"/>
      <c r="Q75" s="23"/>
    </row>
    <row r="76">
      <c r="A76" s="7" t="s">
        <v>31</v>
      </c>
      <c r="B76" s="45"/>
      <c r="C76" s="45"/>
      <c r="D76" s="40"/>
      <c r="E76" s="47"/>
      <c r="F76" s="40"/>
      <c r="G76" s="40"/>
      <c r="H76" s="42"/>
      <c r="I76" s="40"/>
      <c r="J76" s="40"/>
      <c r="K76" s="40"/>
      <c r="L76" s="7"/>
      <c r="N76" s="10"/>
      <c r="Q76" s="16"/>
    </row>
    <row r="77">
      <c r="A77" s="7" t="s">
        <v>37</v>
      </c>
      <c r="B77" s="45"/>
      <c r="C77" s="45"/>
      <c r="D77" s="45"/>
      <c r="E77" s="30"/>
      <c r="F77" s="40"/>
      <c r="G77" s="40"/>
      <c r="H77" s="42"/>
      <c r="I77" s="40"/>
      <c r="J77" s="40"/>
      <c r="K77" s="40"/>
      <c r="L77" s="7"/>
      <c r="M77" s="7"/>
      <c r="N77" s="14"/>
      <c r="Q77" s="16"/>
    </row>
    <row r="78">
      <c r="A78" s="7" t="s">
        <v>43</v>
      </c>
      <c r="B78" s="45"/>
      <c r="C78" s="45"/>
      <c r="D78" s="45"/>
      <c r="E78" s="47"/>
      <c r="F78" s="40"/>
      <c r="G78" s="40"/>
      <c r="H78" s="42"/>
      <c r="I78" s="40"/>
      <c r="J78" s="40"/>
      <c r="K78" s="40"/>
      <c r="L78" s="7"/>
      <c r="M78" s="7"/>
      <c r="N78" s="10"/>
      <c r="Q78" s="23"/>
    </row>
    <row r="79">
      <c r="A79" s="7" t="s">
        <v>51</v>
      </c>
      <c r="B79" s="45"/>
      <c r="C79" s="45"/>
      <c r="D79" s="45"/>
      <c r="E79" s="47"/>
      <c r="F79" s="40"/>
      <c r="G79" s="40"/>
      <c r="H79" s="42"/>
      <c r="I79" s="40"/>
      <c r="J79" s="40"/>
      <c r="K79" s="40"/>
      <c r="L79" s="7"/>
      <c r="M79" s="7"/>
      <c r="N79" s="10"/>
      <c r="Q79" s="16"/>
    </row>
    <row r="80">
      <c r="A80" s="7" t="s">
        <v>57</v>
      </c>
      <c r="B80" s="45"/>
      <c r="C80" s="45"/>
      <c r="D80" s="45"/>
      <c r="E80" s="47"/>
      <c r="F80" s="40"/>
      <c r="G80" s="40"/>
      <c r="H80" s="42"/>
      <c r="I80" s="40"/>
      <c r="J80" s="40"/>
      <c r="K80" s="40"/>
      <c r="L80" s="7"/>
      <c r="M80" s="7"/>
      <c r="N80" s="10"/>
      <c r="Q80" s="23"/>
    </row>
    <row r="81">
      <c r="E81" s="10"/>
      <c r="H81" s="27"/>
    </row>
    <row r="82">
      <c r="E82" s="10"/>
      <c r="H82" s="27"/>
    </row>
    <row r="83">
      <c r="E83" s="10"/>
      <c r="H83" s="27"/>
    </row>
    <row r="84">
      <c r="E84" s="10"/>
      <c r="H84" s="27"/>
    </row>
    <row r="85">
      <c r="E85" s="10"/>
      <c r="H85" s="27"/>
    </row>
    <row r="86">
      <c r="E86" s="10"/>
      <c r="H86" s="27"/>
    </row>
    <row r="87">
      <c r="E87" s="10"/>
      <c r="H87" s="27"/>
    </row>
    <row r="88">
      <c r="E88" s="10"/>
      <c r="H88" s="27"/>
    </row>
    <row r="89">
      <c r="E89" s="10"/>
      <c r="H89" s="27"/>
    </row>
    <row r="90">
      <c r="E90" s="10"/>
      <c r="H90" s="27"/>
    </row>
    <row r="91">
      <c r="E91" s="10"/>
      <c r="H91" s="27"/>
    </row>
    <row r="92">
      <c r="E92" s="10"/>
      <c r="H92" s="27"/>
    </row>
    <row r="93">
      <c r="E93" s="10"/>
      <c r="H93" s="27"/>
    </row>
    <row r="94">
      <c r="E94" s="10"/>
      <c r="H94" s="27"/>
    </row>
    <row r="95">
      <c r="E95" s="10"/>
      <c r="H95" s="27"/>
    </row>
    <row r="96">
      <c r="E96" s="10"/>
      <c r="H96" s="27"/>
    </row>
    <row r="97">
      <c r="E97" s="10"/>
      <c r="H97" s="27"/>
    </row>
    <row r="98">
      <c r="E98" s="10"/>
      <c r="H98" s="27"/>
    </row>
    <row r="99">
      <c r="E99" s="10"/>
      <c r="H99" s="27"/>
    </row>
    <row r="100">
      <c r="E100" s="10"/>
      <c r="H100" s="27"/>
    </row>
    <row r="101">
      <c r="E101" s="10"/>
      <c r="H101" s="27"/>
    </row>
    <row r="102">
      <c r="E102" s="10"/>
      <c r="H102" s="27"/>
    </row>
    <row r="103">
      <c r="E103" s="10"/>
      <c r="H103" s="27"/>
    </row>
    <row r="104">
      <c r="E104" s="10"/>
      <c r="H104" s="27"/>
    </row>
    <row r="105">
      <c r="E105" s="10"/>
      <c r="H105" s="27"/>
    </row>
    <row r="106">
      <c r="E106" s="10"/>
      <c r="H106" s="27"/>
    </row>
    <row r="107">
      <c r="E107" s="10"/>
      <c r="H107" s="27"/>
    </row>
    <row r="108">
      <c r="E108" s="10"/>
      <c r="H108" s="27"/>
    </row>
    <row r="109">
      <c r="E109" s="10"/>
      <c r="H109" s="27"/>
    </row>
    <row r="110">
      <c r="E110" s="10"/>
      <c r="H110" s="27"/>
    </row>
    <row r="111">
      <c r="E111" s="10"/>
      <c r="H111" s="27"/>
    </row>
    <row r="112">
      <c r="E112" s="10"/>
      <c r="H112" s="27"/>
    </row>
    <row r="113">
      <c r="E113" s="10"/>
      <c r="H113" s="27"/>
    </row>
    <row r="114">
      <c r="E114" s="10"/>
      <c r="H114" s="27"/>
    </row>
    <row r="115">
      <c r="E115" s="10"/>
      <c r="H115" s="27"/>
    </row>
    <row r="116">
      <c r="E116" s="10"/>
      <c r="H116" s="27"/>
    </row>
    <row r="117">
      <c r="E117" s="10"/>
      <c r="H117" s="27"/>
    </row>
    <row r="118">
      <c r="E118" s="10"/>
      <c r="H118" s="27"/>
    </row>
    <row r="119">
      <c r="E119" s="10"/>
      <c r="H119" s="27"/>
    </row>
    <row r="120">
      <c r="E120" s="10"/>
      <c r="H120" s="27"/>
    </row>
    <row r="121">
      <c r="E121" s="10"/>
      <c r="H121" s="27"/>
    </row>
    <row r="122">
      <c r="E122" s="10"/>
      <c r="H122" s="27"/>
    </row>
    <row r="123">
      <c r="E123" s="10"/>
      <c r="H123" s="27"/>
    </row>
    <row r="124">
      <c r="E124" s="10"/>
      <c r="H124" s="27"/>
    </row>
    <row r="125">
      <c r="E125" s="10"/>
      <c r="H125" s="27"/>
    </row>
    <row r="126">
      <c r="E126" s="10"/>
      <c r="H126" s="27"/>
    </row>
    <row r="127">
      <c r="E127" s="10"/>
      <c r="H127" s="27"/>
    </row>
    <row r="128">
      <c r="E128" s="10"/>
      <c r="H128" s="27"/>
    </row>
    <row r="129">
      <c r="E129" s="10"/>
      <c r="H129" s="27"/>
    </row>
    <row r="130">
      <c r="E130" s="10"/>
      <c r="H130" s="27"/>
    </row>
    <row r="131">
      <c r="E131" s="10"/>
      <c r="H131" s="27"/>
    </row>
    <row r="132">
      <c r="E132" s="10"/>
      <c r="H132" s="27"/>
    </row>
    <row r="133">
      <c r="E133" s="10"/>
      <c r="H133" s="27"/>
    </row>
    <row r="134">
      <c r="E134" s="10"/>
      <c r="H134" s="27"/>
    </row>
    <row r="135">
      <c r="E135" s="10"/>
      <c r="H135" s="27"/>
    </row>
    <row r="136">
      <c r="E136" s="10"/>
      <c r="H136" s="27"/>
    </row>
    <row r="137">
      <c r="E137" s="10"/>
      <c r="H137" s="27"/>
    </row>
    <row r="138">
      <c r="E138" s="10"/>
      <c r="H138" s="27"/>
    </row>
    <row r="139">
      <c r="E139" s="10"/>
      <c r="H139" s="27"/>
    </row>
    <row r="140">
      <c r="E140" s="10"/>
      <c r="H140" s="27"/>
    </row>
    <row r="141">
      <c r="E141" s="10"/>
      <c r="H141" s="27"/>
    </row>
    <row r="142">
      <c r="E142" s="10"/>
      <c r="H142" s="27"/>
    </row>
    <row r="143">
      <c r="E143" s="10"/>
      <c r="H143" s="27"/>
    </row>
    <row r="144">
      <c r="E144" s="10"/>
      <c r="H144" s="27"/>
    </row>
    <row r="145">
      <c r="E145" s="10"/>
      <c r="H145" s="27"/>
    </row>
    <row r="146">
      <c r="E146" s="10"/>
      <c r="H146" s="27"/>
    </row>
    <row r="147">
      <c r="E147" s="10"/>
      <c r="H147" s="27"/>
    </row>
    <row r="148">
      <c r="E148" s="10"/>
      <c r="H148" s="27"/>
    </row>
    <row r="149">
      <c r="E149" s="10"/>
      <c r="H149" s="27"/>
    </row>
    <row r="150">
      <c r="E150" s="10"/>
      <c r="H150" s="27"/>
    </row>
    <row r="151">
      <c r="E151" s="10"/>
      <c r="H151" s="27"/>
    </row>
    <row r="152">
      <c r="E152" s="10"/>
      <c r="H152" s="27"/>
    </row>
    <row r="153">
      <c r="E153" s="10"/>
      <c r="H153" s="27"/>
    </row>
    <row r="154">
      <c r="E154" s="10"/>
      <c r="H154" s="27"/>
    </row>
    <row r="155">
      <c r="E155" s="10"/>
      <c r="H155" s="27"/>
    </row>
    <row r="156">
      <c r="E156" s="10"/>
      <c r="H156" s="27"/>
    </row>
    <row r="157">
      <c r="E157" s="10"/>
      <c r="H157" s="27"/>
    </row>
    <row r="158">
      <c r="E158" s="10"/>
      <c r="H158" s="27"/>
    </row>
    <row r="159">
      <c r="E159" s="10"/>
      <c r="H159" s="27"/>
    </row>
    <row r="160">
      <c r="E160" s="10"/>
      <c r="H160" s="27"/>
    </row>
    <row r="161">
      <c r="E161" s="10"/>
      <c r="H161" s="27"/>
    </row>
    <row r="162">
      <c r="E162" s="10"/>
      <c r="H162" s="27"/>
    </row>
    <row r="163">
      <c r="E163" s="10"/>
      <c r="H163" s="27"/>
    </row>
    <row r="164">
      <c r="E164" s="10"/>
      <c r="H164" s="27"/>
    </row>
    <row r="165">
      <c r="E165" s="10"/>
      <c r="H165" s="27"/>
    </row>
    <row r="166">
      <c r="E166" s="10"/>
      <c r="H166" s="27"/>
    </row>
    <row r="167">
      <c r="E167" s="10"/>
      <c r="H167" s="27"/>
    </row>
    <row r="168">
      <c r="E168" s="10"/>
      <c r="H168" s="27"/>
    </row>
    <row r="169">
      <c r="E169" s="10"/>
      <c r="H169" s="27"/>
    </row>
    <row r="170">
      <c r="E170" s="10"/>
      <c r="H170" s="27"/>
    </row>
    <row r="171">
      <c r="E171" s="10"/>
      <c r="H171" s="27"/>
    </row>
    <row r="172">
      <c r="E172" s="10"/>
      <c r="H172" s="27"/>
    </row>
    <row r="173">
      <c r="E173" s="10"/>
      <c r="H173" s="27"/>
    </row>
    <row r="174">
      <c r="E174" s="10"/>
      <c r="H174" s="27"/>
    </row>
    <row r="175">
      <c r="E175" s="10"/>
      <c r="H175" s="27"/>
    </row>
    <row r="176">
      <c r="E176" s="10"/>
      <c r="H176" s="27"/>
    </row>
    <row r="177">
      <c r="E177" s="10"/>
      <c r="H177" s="27"/>
    </row>
    <row r="178">
      <c r="E178" s="10"/>
      <c r="H178" s="27"/>
    </row>
    <row r="179">
      <c r="E179" s="10"/>
      <c r="H179" s="27"/>
    </row>
    <row r="180">
      <c r="E180" s="10"/>
      <c r="H180" s="27"/>
    </row>
    <row r="181">
      <c r="E181" s="10"/>
      <c r="H181" s="27"/>
    </row>
    <row r="182">
      <c r="E182" s="10"/>
      <c r="H182" s="27"/>
    </row>
    <row r="183">
      <c r="E183" s="10"/>
      <c r="H183" s="27"/>
    </row>
    <row r="184">
      <c r="E184" s="10"/>
      <c r="H184" s="27"/>
    </row>
    <row r="185">
      <c r="E185" s="10"/>
      <c r="H185" s="27"/>
    </row>
    <row r="186">
      <c r="E186" s="10"/>
      <c r="H186" s="27"/>
    </row>
    <row r="187">
      <c r="E187" s="10"/>
      <c r="H187" s="27"/>
    </row>
    <row r="188">
      <c r="E188" s="10"/>
      <c r="H188" s="27"/>
    </row>
    <row r="189">
      <c r="E189" s="10"/>
      <c r="H189" s="27"/>
    </row>
    <row r="190">
      <c r="E190" s="10"/>
      <c r="H190" s="27"/>
    </row>
    <row r="191">
      <c r="E191" s="10"/>
      <c r="H191" s="27"/>
    </row>
    <row r="192">
      <c r="E192" s="10"/>
      <c r="H192" s="27"/>
    </row>
    <row r="193">
      <c r="E193" s="10"/>
      <c r="H193" s="27"/>
    </row>
    <row r="194">
      <c r="E194" s="10"/>
      <c r="H194" s="27"/>
    </row>
    <row r="195">
      <c r="E195" s="10"/>
      <c r="H195" s="27"/>
    </row>
    <row r="196">
      <c r="E196" s="10"/>
      <c r="H196" s="27"/>
    </row>
    <row r="197">
      <c r="E197" s="10"/>
      <c r="H197" s="27"/>
    </row>
    <row r="198">
      <c r="E198" s="10"/>
      <c r="H198" s="27"/>
    </row>
    <row r="199">
      <c r="E199" s="10"/>
      <c r="H199" s="27"/>
    </row>
    <row r="200">
      <c r="E200" s="10"/>
      <c r="H200" s="27"/>
    </row>
    <row r="201">
      <c r="E201" s="10"/>
      <c r="H201" s="27"/>
    </row>
    <row r="202">
      <c r="E202" s="10"/>
      <c r="H202" s="27"/>
    </row>
    <row r="203">
      <c r="E203" s="10"/>
      <c r="H203" s="27"/>
    </row>
    <row r="204">
      <c r="E204" s="10"/>
      <c r="H204" s="27"/>
    </row>
    <row r="205">
      <c r="E205" s="10"/>
      <c r="H205" s="27"/>
    </row>
    <row r="206">
      <c r="E206" s="10"/>
      <c r="H206" s="27"/>
    </row>
    <row r="207">
      <c r="E207" s="10"/>
      <c r="H207" s="27"/>
    </row>
    <row r="208">
      <c r="E208" s="10"/>
      <c r="H208" s="27"/>
    </row>
    <row r="209">
      <c r="E209" s="10"/>
      <c r="H209" s="27"/>
    </row>
    <row r="210">
      <c r="E210" s="10"/>
      <c r="H210" s="27"/>
    </row>
    <row r="211">
      <c r="E211" s="10"/>
      <c r="H211" s="27"/>
    </row>
    <row r="212">
      <c r="E212" s="10"/>
      <c r="H212" s="27"/>
    </row>
    <row r="213">
      <c r="E213" s="10"/>
      <c r="H213" s="27"/>
    </row>
    <row r="214">
      <c r="E214" s="10"/>
      <c r="H214" s="27"/>
    </row>
    <row r="215">
      <c r="E215" s="10"/>
      <c r="H215" s="27"/>
    </row>
    <row r="216">
      <c r="E216" s="10"/>
      <c r="H216" s="27"/>
    </row>
    <row r="217">
      <c r="E217" s="10"/>
      <c r="H217" s="27"/>
    </row>
    <row r="218">
      <c r="E218" s="10"/>
      <c r="H218" s="27"/>
    </row>
    <row r="219">
      <c r="E219" s="10"/>
      <c r="H219" s="27"/>
    </row>
    <row r="220">
      <c r="E220" s="10"/>
      <c r="H220" s="27"/>
    </row>
    <row r="221">
      <c r="E221" s="10"/>
      <c r="H221" s="27"/>
    </row>
    <row r="222">
      <c r="E222" s="10"/>
      <c r="H222" s="27"/>
    </row>
    <row r="223">
      <c r="E223" s="10"/>
      <c r="H223" s="27"/>
    </row>
    <row r="224">
      <c r="E224" s="10"/>
      <c r="H224" s="27"/>
    </row>
    <row r="225">
      <c r="E225" s="10"/>
      <c r="H225" s="27"/>
    </row>
    <row r="226">
      <c r="E226" s="10"/>
      <c r="H226" s="27"/>
    </row>
    <row r="227">
      <c r="E227" s="10"/>
      <c r="H227" s="27"/>
    </row>
    <row r="228">
      <c r="E228" s="10"/>
      <c r="H228" s="27"/>
    </row>
    <row r="229">
      <c r="E229" s="10"/>
      <c r="H229" s="27"/>
    </row>
    <row r="230">
      <c r="E230" s="10"/>
      <c r="H230" s="27"/>
    </row>
    <row r="231">
      <c r="E231" s="10"/>
      <c r="H231" s="27"/>
    </row>
    <row r="232">
      <c r="E232" s="10"/>
      <c r="H232" s="27"/>
    </row>
    <row r="233">
      <c r="E233" s="10"/>
      <c r="H233" s="27"/>
    </row>
    <row r="234">
      <c r="E234" s="10"/>
      <c r="H234" s="27"/>
    </row>
    <row r="235">
      <c r="E235" s="10"/>
      <c r="H235" s="27"/>
    </row>
    <row r="236">
      <c r="E236" s="10"/>
      <c r="H236" s="27"/>
    </row>
    <row r="237">
      <c r="E237" s="10"/>
      <c r="H237" s="27"/>
    </row>
    <row r="238">
      <c r="E238" s="10"/>
      <c r="H238" s="27"/>
    </row>
    <row r="239">
      <c r="E239" s="10"/>
      <c r="H239" s="27"/>
    </row>
    <row r="240">
      <c r="E240" s="10"/>
      <c r="H240" s="27"/>
    </row>
    <row r="241">
      <c r="E241" s="10"/>
      <c r="H241" s="27"/>
    </row>
    <row r="242">
      <c r="E242" s="10"/>
      <c r="H242" s="27"/>
    </row>
    <row r="243">
      <c r="E243" s="10"/>
      <c r="H243" s="27"/>
    </row>
    <row r="244">
      <c r="E244" s="10"/>
      <c r="H244" s="27"/>
    </row>
    <row r="245">
      <c r="E245" s="10"/>
      <c r="H245" s="27"/>
    </row>
    <row r="246">
      <c r="E246" s="10"/>
      <c r="H246" s="27"/>
    </row>
    <row r="247">
      <c r="E247" s="10"/>
      <c r="H247" s="27"/>
    </row>
    <row r="248">
      <c r="E248" s="10"/>
      <c r="H248" s="27"/>
    </row>
    <row r="249">
      <c r="E249" s="10"/>
      <c r="H249" s="27"/>
    </row>
    <row r="250">
      <c r="E250" s="10"/>
      <c r="H250" s="27"/>
    </row>
    <row r="251">
      <c r="E251" s="10"/>
      <c r="H251" s="27"/>
    </row>
    <row r="252">
      <c r="E252" s="10"/>
      <c r="H252" s="27"/>
    </row>
    <row r="253">
      <c r="E253" s="10"/>
      <c r="H253" s="27"/>
    </row>
    <row r="254">
      <c r="E254" s="10"/>
      <c r="H254" s="27"/>
    </row>
    <row r="255">
      <c r="E255" s="10"/>
      <c r="H255" s="27"/>
    </row>
    <row r="256">
      <c r="E256" s="10"/>
      <c r="H256" s="27"/>
    </row>
    <row r="257">
      <c r="E257" s="10"/>
      <c r="H257" s="27"/>
    </row>
    <row r="258">
      <c r="E258" s="10"/>
      <c r="H258" s="27"/>
    </row>
    <row r="259">
      <c r="E259" s="10"/>
      <c r="H259" s="27"/>
    </row>
    <row r="260">
      <c r="E260" s="10"/>
      <c r="H260" s="27"/>
    </row>
    <row r="261">
      <c r="E261" s="10"/>
      <c r="H261" s="27"/>
    </row>
    <row r="262">
      <c r="E262" s="10"/>
      <c r="H262" s="27"/>
    </row>
    <row r="263">
      <c r="E263" s="10"/>
      <c r="H263" s="27"/>
    </row>
    <row r="264">
      <c r="E264" s="10"/>
      <c r="H264" s="27"/>
    </row>
    <row r="265">
      <c r="E265" s="10"/>
      <c r="H265" s="27"/>
    </row>
    <row r="266">
      <c r="E266" s="10"/>
      <c r="H266" s="27"/>
    </row>
    <row r="267">
      <c r="E267" s="10"/>
      <c r="H267" s="27"/>
    </row>
    <row r="268">
      <c r="E268" s="10"/>
      <c r="H268" s="27"/>
    </row>
    <row r="269">
      <c r="E269" s="10"/>
      <c r="H269" s="27"/>
    </row>
    <row r="270">
      <c r="E270" s="10"/>
      <c r="H270" s="27"/>
    </row>
    <row r="271">
      <c r="E271" s="10"/>
      <c r="H271" s="27"/>
    </row>
    <row r="272">
      <c r="E272" s="10"/>
      <c r="H272" s="27"/>
    </row>
    <row r="273">
      <c r="E273" s="10"/>
      <c r="H273" s="27"/>
    </row>
    <row r="274">
      <c r="E274" s="10"/>
      <c r="H274" s="27"/>
    </row>
    <row r="275">
      <c r="E275" s="10"/>
      <c r="H275" s="27"/>
    </row>
    <row r="276">
      <c r="E276" s="10"/>
      <c r="H276" s="27"/>
    </row>
    <row r="277">
      <c r="E277" s="10"/>
      <c r="H277" s="27"/>
    </row>
    <row r="278">
      <c r="E278" s="10"/>
      <c r="H278" s="27"/>
    </row>
    <row r="279">
      <c r="E279" s="10"/>
      <c r="H279" s="27"/>
    </row>
    <row r="280">
      <c r="E280" s="10"/>
      <c r="H280" s="27"/>
    </row>
    <row r="281">
      <c r="E281" s="10"/>
      <c r="H281" s="27"/>
    </row>
    <row r="282">
      <c r="E282" s="10"/>
      <c r="H282" s="27"/>
    </row>
    <row r="283">
      <c r="E283" s="10"/>
      <c r="H283" s="27"/>
    </row>
    <row r="284">
      <c r="E284" s="10"/>
      <c r="H284" s="27"/>
    </row>
    <row r="285">
      <c r="E285" s="10"/>
      <c r="H285" s="27"/>
    </row>
    <row r="286">
      <c r="E286" s="10"/>
      <c r="H286" s="27"/>
    </row>
    <row r="287">
      <c r="E287" s="10"/>
      <c r="H287" s="27"/>
    </row>
    <row r="288">
      <c r="E288" s="10"/>
      <c r="H288" s="27"/>
    </row>
    <row r="289">
      <c r="E289" s="10"/>
      <c r="H289" s="27"/>
    </row>
    <row r="290">
      <c r="E290" s="10"/>
      <c r="H290" s="27"/>
    </row>
    <row r="291">
      <c r="E291" s="10"/>
      <c r="H291" s="27"/>
    </row>
    <row r="292">
      <c r="E292" s="10"/>
      <c r="H292" s="27"/>
    </row>
    <row r="293">
      <c r="E293" s="10"/>
      <c r="H293" s="27"/>
    </row>
    <row r="294">
      <c r="E294" s="10"/>
      <c r="H294" s="27"/>
    </row>
    <row r="295">
      <c r="E295" s="10"/>
      <c r="H295" s="27"/>
    </row>
    <row r="296">
      <c r="E296" s="10"/>
      <c r="H296" s="27"/>
    </row>
    <row r="297">
      <c r="E297" s="10"/>
      <c r="H297" s="27"/>
    </row>
    <row r="298">
      <c r="E298" s="10"/>
      <c r="H298" s="27"/>
    </row>
    <row r="299">
      <c r="E299" s="10"/>
      <c r="H299" s="27"/>
    </row>
    <row r="300">
      <c r="E300" s="10"/>
      <c r="H300" s="27"/>
    </row>
    <row r="301">
      <c r="E301" s="10"/>
      <c r="H301" s="27"/>
    </row>
    <row r="302">
      <c r="E302" s="10"/>
      <c r="H302" s="27"/>
    </row>
    <row r="303">
      <c r="E303" s="10"/>
      <c r="H303" s="27"/>
    </row>
    <row r="304">
      <c r="E304" s="10"/>
      <c r="H304" s="27"/>
    </row>
    <row r="305">
      <c r="E305" s="10"/>
      <c r="H305" s="27"/>
    </row>
    <row r="306">
      <c r="E306" s="10"/>
      <c r="H306" s="27"/>
    </row>
    <row r="307">
      <c r="E307" s="10"/>
      <c r="H307" s="27"/>
    </row>
    <row r="308">
      <c r="E308" s="10"/>
      <c r="H308" s="27"/>
    </row>
    <row r="309">
      <c r="E309" s="10"/>
      <c r="H309" s="27"/>
    </row>
    <row r="310">
      <c r="E310" s="10"/>
      <c r="H310" s="27"/>
    </row>
    <row r="311">
      <c r="E311" s="10"/>
      <c r="H311" s="27"/>
    </row>
    <row r="312">
      <c r="E312" s="10"/>
      <c r="H312" s="27"/>
    </row>
    <row r="313">
      <c r="E313" s="10"/>
      <c r="H313" s="27"/>
    </row>
    <row r="314">
      <c r="E314" s="10"/>
      <c r="H314" s="27"/>
    </row>
    <row r="315">
      <c r="E315" s="10"/>
      <c r="H315" s="27"/>
    </row>
    <row r="316">
      <c r="E316" s="10"/>
      <c r="H316" s="27"/>
    </row>
    <row r="317">
      <c r="E317" s="10"/>
      <c r="H317" s="27"/>
    </row>
    <row r="318">
      <c r="E318" s="10"/>
      <c r="H318" s="27"/>
    </row>
    <row r="319">
      <c r="E319" s="10"/>
      <c r="H319" s="27"/>
    </row>
    <row r="320">
      <c r="E320" s="10"/>
      <c r="H320" s="27"/>
    </row>
    <row r="321">
      <c r="E321" s="10"/>
      <c r="H321" s="27"/>
    </row>
    <row r="322">
      <c r="E322" s="10"/>
      <c r="H322" s="27"/>
    </row>
    <row r="323">
      <c r="E323" s="10"/>
      <c r="H323" s="27"/>
    </row>
    <row r="324">
      <c r="E324" s="10"/>
      <c r="H324" s="27"/>
    </row>
    <row r="325">
      <c r="E325" s="10"/>
      <c r="H325" s="27"/>
    </row>
    <row r="326">
      <c r="E326" s="10"/>
      <c r="H326" s="27"/>
    </row>
    <row r="327">
      <c r="E327" s="10"/>
      <c r="H327" s="27"/>
    </row>
    <row r="328">
      <c r="E328" s="10"/>
      <c r="H328" s="27"/>
    </row>
    <row r="329">
      <c r="E329" s="10"/>
      <c r="H329" s="27"/>
    </row>
    <row r="330">
      <c r="E330" s="10"/>
      <c r="H330" s="27"/>
    </row>
    <row r="331">
      <c r="E331" s="10"/>
      <c r="H331" s="27"/>
    </row>
    <row r="332">
      <c r="E332" s="10"/>
      <c r="H332" s="27"/>
    </row>
    <row r="333">
      <c r="E333" s="10"/>
      <c r="H333" s="27"/>
    </row>
    <row r="334">
      <c r="E334" s="10"/>
      <c r="H334" s="27"/>
    </row>
    <row r="335">
      <c r="E335" s="10"/>
      <c r="H335" s="27"/>
    </row>
    <row r="336">
      <c r="E336" s="10"/>
      <c r="H336" s="27"/>
    </row>
    <row r="337">
      <c r="E337" s="10"/>
      <c r="H337" s="27"/>
    </row>
    <row r="338">
      <c r="E338" s="10"/>
      <c r="H338" s="27"/>
    </row>
    <row r="339">
      <c r="E339" s="10"/>
      <c r="H339" s="27"/>
    </row>
    <row r="340">
      <c r="E340" s="10"/>
      <c r="H340" s="27"/>
    </row>
    <row r="341">
      <c r="E341" s="10"/>
      <c r="H341" s="27"/>
    </row>
    <row r="342">
      <c r="E342" s="10"/>
      <c r="H342" s="27"/>
    </row>
    <row r="343">
      <c r="E343" s="10"/>
      <c r="H343" s="27"/>
    </row>
    <row r="344">
      <c r="E344" s="10"/>
      <c r="H344" s="27"/>
    </row>
    <row r="345">
      <c r="E345" s="10"/>
      <c r="H345" s="27"/>
    </row>
    <row r="346">
      <c r="E346" s="10"/>
      <c r="H346" s="27"/>
    </row>
    <row r="347">
      <c r="E347" s="10"/>
      <c r="H347" s="27"/>
    </row>
    <row r="348">
      <c r="E348" s="10"/>
      <c r="H348" s="27"/>
    </row>
    <row r="349">
      <c r="E349" s="10"/>
      <c r="H349" s="27"/>
    </row>
    <row r="350">
      <c r="E350" s="10"/>
      <c r="H350" s="27"/>
    </row>
    <row r="351">
      <c r="E351" s="10"/>
      <c r="H351" s="27"/>
    </row>
    <row r="352">
      <c r="E352" s="10"/>
      <c r="H352" s="27"/>
    </row>
    <row r="353">
      <c r="E353" s="10"/>
      <c r="H353" s="27"/>
    </row>
    <row r="354">
      <c r="E354" s="10"/>
      <c r="H354" s="27"/>
    </row>
    <row r="355">
      <c r="E355" s="10"/>
      <c r="H355" s="27"/>
    </row>
    <row r="356">
      <c r="E356" s="10"/>
      <c r="H356" s="27"/>
    </row>
    <row r="357">
      <c r="E357" s="10"/>
      <c r="H357" s="27"/>
    </row>
    <row r="358">
      <c r="E358" s="10"/>
      <c r="H358" s="27"/>
    </row>
    <row r="359">
      <c r="E359" s="10"/>
      <c r="H359" s="27"/>
    </row>
    <row r="360">
      <c r="E360" s="10"/>
      <c r="H360" s="27"/>
    </row>
    <row r="361">
      <c r="E361" s="10"/>
      <c r="H361" s="27"/>
    </row>
    <row r="362">
      <c r="E362" s="10"/>
      <c r="H362" s="27"/>
    </row>
    <row r="363">
      <c r="E363" s="10"/>
      <c r="H363" s="27"/>
    </row>
    <row r="364">
      <c r="E364" s="10"/>
      <c r="H364" s="27"/>
    </row>
    <row r="365">
      <c r="E365" s="10"/>
      <c r="H365" s="27"/>
    </row>
    <row r="366">
      <c r="E366" s="10"/>
      <c r="H366" s="27"/>
    </row>
    <row r="367">
      <c r="E367" s="10"/>
      <c r="H367" s="27"/>
    </row>
    <row r="368">
      <c r="E368" s="10"/>
      <c r="H368" s="27"/>
    </row>
    <row r="369">
      <c r="E369" s="10"/>
      <c r="H369" s="27"/>
    </row>
    <row r="370">
      <c r="E370" s="10"/>
      <c r="H370" s="27"/>
    </row>
    <row r="371">
      <c r="E371" s="10"/>
      <c r="H371" s="27"/>
    </row>
    <row r="372">
      <c r="E372" s="10"/>
      <c r="H372" s="27"/>
    </row>
    <row r="373">
      <c r="E373" s="10"/>
      <c r="H373" s="27"/>
    </row>
    <row r="374">
      <c r="E374" s="10"/>
      <c r="H374" s="27"/>
    </row>
    <row r="375">
      <c r="E375" s="10"/>
      <c r="H375" s="27"/>
    </row>
    <row r="376">
      <c r="E376" s="10"/>
      <c r="H376" s="27"/>
    </row>
    <row r="377">
      <c r="E377" s="10"/>
      <c r="H377" s="27"/>
    </row>
    <row r="378">
      <c r="E378" s="10"/>
      <c r="H378" s="27"/>
    </row>
    <row r="379">
      <c r="E379" s="10"/>
      <c r="H379" s="27"/>
    </row>
    <row r="380">
      <c r="E380" s="10"/>
      <c r="H380" s="27"/>
    </row>
    <row r="381">
      <c r="E381" s="10"/>
      <c r="H381" s="27"/>
    </row>
    <row r="382">
      <c r="E382" s="10"/>
      <c r="H382" s="27"/>
    </row>
    <row r="383">
      <c r="E383" s="10"/>
      <c r="H383" s="27"/>
    </row>
    <row r="384">
      <c r="E384" s="10"/>
      <c r="H384" s="27"/>
    </row>
    <row r="385">
      <c r="E385" s="10"/>
      <c r="H385" s="27"/>
    </row>
    <row r="386">
      <c r="E386" s="10"/>
      <c r="H386" s="27"/>
    </row>
    <row r="387">
      <c r="E387" s="10"/>
      <c r="H387" s="27"/>
    </row>
    <row r="388">
      <c r="E388" s="10"/>
      <c r="H388" s="27"/>
    </row>
    <row r="389">
      <c r="E389" s="10"/>
      <c r="H389" s="27"/>
    </row>
    <row r="390">
      <c r="E390" s="10"/>
      <c r="H390" s="27"/>
    </row>
    <row r="391">
      <c r="E391" s="10"/>
      <c r="H391" s="27"/>
    </row>
    <row r="392">
      <c r="E392" s="10"/>
      <c r="H392" s="27"/>
    </row>
    <row r="393">
      <c r="E393" s="10"/>
      <c r="H393" s="27"/>
    </row>
    <row r="394">
      <c r="E394" s="10"/>
      <c r="H394" s="27"/>
    </row>
    <row r="395">
      <c r="E395" s="10"/>
      <c r="H395" s="27"/>
    </row>
    <row r="396">
      <c r="E396" s="10"/>
      <c r="H396" s="27"/>
    </row>
    <row r="397">
      <c r="E397" s="10"/>
      <c r="H397" s="27"/>
    </row>
    <row r="398">
      <c r="E398" s="10"/>
      <c r="H398" s="27"/>
    </row>
    <row r="399">
      <c r="E399" s="10"/>
      <c r="H399" s="27"/>
    </row>
    <row r="400">
      <c r="E400" s="10"/>
      <c r="H400" s="27"/>
    </row>
    <row r="401">
      <c r="E401" s="10"/>
      <c r="H401" s="27"/>
    </row>
    <row r="402">
      <c r="E402" s="10"/>
      <c r="H402" s="27"/>
    </row>
    <row r="403">
      <c r="E403" s="10"/>
      <c r="H403" s="27"/>
    </row>
    <row r="404">
      <c r="E404" s="10"/>
      <c r="H404" s="27"/>
    </row>
    <row r="405">
      <c r="E405" s="10"/>
      <c r="H405" s="27"/>
    </row>
    <row r="406">
      <c r="E406" s="10"/>
      <c r="H406" s="27"/>
    </row>
    <row r="407">
      <c r="E407" s="10"/>
      <c r="H407" s="27"/>
    </row>
    <row r="408">
      <c r="E408" s="10"/>
      <c r="H408" s="27"/>
    </row>
    <row r="409">
      <c r="E409" s="10"/>
      <c r="H409" s="27"/>
    </row>
    <row r="410">
      <c r="E410" s="10"/>
      <c r="H410" s="27"/>
    </row>
    <row r="411">
      <c r="E411" s="10"/>
      <c r="H411" s="27"/>
    </row>
    <row r="412">
      <c r="E412" s="10"/>
      <c r="H412" s="27"/>
    </row>
    <row r="413">
      <c r="E413" s="10"/>
      <c r="H413" s="27"/>
    </row>
    <row r="414">
      <c r="E414" s="10"/>
      <c r="H414" s="27"/>
    </row>
    <row r="415">
      <c r="E415" s="10"/>
      <c r="H415" s="27"/>
    </row>
    <row r="416">
      <c r="E416" s="10"/>
      <c r="H416" s="27"/>
    </row>
    <row r="417">
      <c r="E417" s="10"/>
      <c r="H417" s="27"/>
    </row>
    <row r="418">
      <c r="E418" s="10"/>
      <c r="H418" s="27"/>
    </row>
    <row r="419">
      <c r="E419" s="10"/>
      <c r="H419" s="27"/>
    </row>
    <row r="420">
      <c r="E420" s="10"/>
      <c r="H420" s="27"/>
    </row>
    <row r="421">
      <c r="E421" s="10"/>
      <c r="H421" s="27"/>
    </row>
    <row r="422">
      <c r="E422" s="10"/>
      <c r="H422" s="27"/>
    </row>
    <row r="423">
      <c r="E423" s="10"/>
      <c r="H423" s="27"/>
    </row>
    <row r="424">
      <c r="E424" s="10"/>
      <c r="H424" s="27"/>
    </row>
    <row r="425">
      <c r="E425" s="10"/>
      <c r="H425" s="27"/>
    </row>
    <row r="426">
      <c r="E426" s="10"/>
      <c r="H426" s="27"/>
    </row>
    <row r="427">
      <c r="E427" s="10"/>
      <c r="H427" s="27"/>
    </row>
    <row r="428">
      <c r="E428" s="10"/>
      <c r="H428" s="27"/>
    </row>
    <row r="429">
      <c r="E429" s="10"/>
      <c r="H429" s="27"/>
    </row>
    <row r="430">
      <c r="E430" s="10"/>
      <c r="H430" s="27"/>
    </row>
    <row r="431">
      <c r="E431" s="10"/>
      <c r="H431" s="27"/>
    </row>
    <row r="432">
      <c r="E432" s="10"/>
      <c r="H432" s="27"/>
    </row>
    <row r="433">
      <c r="E433" s="10"/>
      <c r="H433" s="27"/>
    </row>
    <row r="434">
      <c r="E434" s="10"/>
      <c r="H434" s="27"/>
    </row>
    <row r="435">
      <c r="E435" s="10"/>
      <c r="H435" s="27"/>
    </row>
    <row r="436">
      <c r="E436" s="10"/>
      <c r="H436" s="27"/>
    </row>
    <row r="437">
      <c r="E437" s="10"/>
      <c r="H437" s="27"/>
    </row>
    <row r="438">
      <c r="E438" s="10"/>
      <c r="H438" s="27"/>
    </row>
    <row r="439">
      <c r="E439" s="10"/>
      <c r="H439" s="27"/>
    </row>
    <row r="440">
      <c r="E440" s="10"/>
      <c r="H440" s="27"/>
    </row>
    <row r="441">
      <c r="E441" s="10"/>
      <c r="H441" s="27"/>
    </row>
    <row r="442">
      <c r="E442" s="10"/>
      <c r="H442" s="27"/>
    </row>
    <row r="443">
      <c r="E443" s="10"/>
      <c r="H443" s="27"/>
    </row>
    <row r="444">
      <c r="E444" s="10"/>
      <c r="H444" s="27"/>
    </row>
    <row r="445">
      <c r="E445" s="10"/>
      <c r="H445" s="27"/>
    </row>
    <row r="446">
      <c r="E446" s="10"/>
      <c r="H446" s="27"/>
    </row>
    <row r="447">
      <c r="E447" s="10"/>
      <c r="H447" s="27"/>
    </row>
    <row r="448">
      <c r="E448" s="10"/>
      <c r="H448" s="27"/>
    </row>
    <row r="449">
      <c r="E449" s="10"/>
      <c r="H449" s="27"/>
    </row>
    <row r="450">
      <c r="E450" s="10"/>
      <c r="H450" s="27"/>
    </row>
    <row r="451">
      <c r="E451" s="10"/>
      <c r="H451" s="27"/>
    </row>
    <row r="452">
      <c r="E452" s="10"/>
      <c r="H452" s="27"/>
    </row>
    <row r="453">
      <c r="E453" s="10"/>
      <c r="H453" s="27"/>
    </row>
    <row r="454">
      <c r="E454" s="10"/>
      <c r="H454" s="27"/>
    </row>
    <row r="455">
      <c r="E455" s="10"/>
      <c r="H455" s="27"/>
    </row>
    <row r="456">
      <c r="E456" s="10"/>
      <c r="H456" s="27"/>
    </row>
    <row r="457">
      <c r="E457" s="10"/>
      <c r="H457" s="27"/>
    </row>
    <row r="458">
      <c r="E458" s="10"/>
      <c r="H458" s="27"/>
    </row>
    <row r="459">
      <c r="E459" s="10"/>
      <c r="H459" s="27"/>
    </row>
    <row r="460">
      <c r="E460" s="10"/>
      <c r="H460" s="27"/>
    </row>
    <row r="461">
      <c r="E461" s="10"/>
      <c r="H461" s="27"/>
    </row>
    <row r="462">
      <c r="E462" s="10"/>
      <c r="H462" s="27"/>
    </row>
    <row r="463">
      <c r="E463" s="10"/>
      <c r="H463" s="27"/>
    </row>
    <row r="464">
      <c r="E464" s="10"/>
      <c r="H464" s="27"/>
    </row>
    <row r="465">
      <c r="E465" s="10"/>
      <c r="H465" s="27"/>
    </row>
    <row r="466">
      <c r="E466" s="10"/>
      <c r="H466" s="27"/>
    </row>
    <row r="467">
      <c r="E467" s="10"/>
      <c r="H467" s="27"/>
    </row>
    <row r="468">
      <c r="E468" s="10"/>
      <c r="H468" s="27"/>
    </row>
    <row r="469">
      <c r="E469" s="10"/>
      <c r="H469" s="27"/>
    </row>
    <row r="470">
      <c r="E470" s="10"/>
      <c r="H470" s="27"/>
    </row>
    <row r="471">
      <c r="E471" s="10"/>
      <c r="H471" s="27"/>
    </row>
    <row r="472">
      <c r="E472" s="10"/>
      <c r="H472" s="27"/>
    </row>
    <row r="473">
      <c r="E473" s="10"/>
      <c r="H473" s="27"/>
    </row>
    <row r="474">
      <c r="E474" s="10"/>
      <c r="H474" s="27"/>
    </row>
    <row r="475">
      <c r="E475" s="10"/>
      <c r="H475" s="27"/>
    </row>
    <row r="476">
      <c r="E476" s="10"/>
      <c r="H476" s="27"/>
    </row>
    <row r="477">
      <c r="E477" s="10"/>
      <c r="H477" s="27"/>
    </row>
    <row r="478">
      <c r="E478" s="10"/>
      <c r="H478" s="27"/>
    </row>
    <row r="479">
      <c r="E479" s="10"/>
      <c r="H479" s="27"/>
    </row>
    <row r="480">
      <c r="E480" s="10"/>
      <c r="H480" s="27"/>
    </row>
    <row r="481">
      <c r="E481" s="10"/>
      <c r="H481" s="27"/>
    </row>
    <row r="482">
      <c r="E482" s="10"/>
      <c r="H482" s="27"/>
    </row>
    <row r="483">
      <c r="E483" s="10"/>
      <c r="H483" s="27"/>
    </row>
    <row r="484">
      <c r="E484" s="10"/>
      <c r="H484" s="27"/>
    </row>
    <row r="485">
      <c r="E485" s="10"/>
      <c r="H485" s="27"/>
    </row>
    <row r="486">
      <c r="E486" s="10"/>
      <c r="H486" s="27"/>
    </row>
    <row r="487">
      <c r="E487" s="10"/>
      <c r="H487" s="27"/>
    </row>
    <row r="488">
      <c r="E488" s="10"/>
      <c r="H488" s="27"/>
    </row>
    <row r="489">
      <c r="E489" s="10"/>
      <c r="H489" s="27"/>
    </row>
    <row r="490">
      <c r="E490" s="10"/>
      <c r="H490" s="27"/>
    </row>
    <row r="491">
      <c r="E491" s="10"/>
      <c r="H491" s="27"/>
    </row>
    <row r="492">
      <c r="E492" s="10"/>
      <c r="H492" s="27"/>
    </row>
    <row r="493">
      <c r="E493" s="10"/>
      <c r="H493" s="27"/>
    </row>
    <row r="494">
      <c r="E494" s="10"/>
      <c r="H494" s="27"/>
    </row>
    <row r="495">
      <c r="E495" s="10"/>
      <c r="H495" s="27"/>
    </row>
    <row r="496">
      <c r="E496" s="10"/>
      <c r="H496" s="27"/>
    </row>
    <row r="497">
      <c r="E497" s="10"/>
      <c r="H497" s="27"/>
    </row>
    <row r="498">
      <c r="E498" s="10"/>
      <c r="H498" s="27"/>
    </row>
    <row r="499">
      <c r="E499" s="10"/>
      <c r="H499" s="27"/>
    </row>
    <row r="500">
      <c r="E500" s="10"/>
      <c r="H500" s="27"/>
    </row>
    <row r="501">
      <c r="E501" s="10"/>
      <c r="H501" s="27"/>
    </row>
    <row r="502">
      <c r="E502" s="10"/>
      <c r="H502" s="27"/>
    </row>
    <row r="503">
      <c r="E503" s="10"/>
      <c r="H503" s="27"/>
    </row>
    <row r="504">
      <c r="E504" s="10"/>
      <c r="H504" s="27"/>
    </row>
    <row r="505">
      <c r="E505" s="10"/>
      <c r="H505" s="27"/>
    </row>
    <row r="506">
      <c r="E506" s="10"/>
      <c r="H506" s="27"/>
    </row>
    <row r="507">
      <c r="E507" s="10"/>
      <c r="H507" s="27"/>
    </row>
    <row r="508">
      <c r="E508" s="10"/>
      <c r="H508" s="27"/>
    </row>
    <row r="509">
      <c r="E509" s="10"/>
      <c r="H509" s="27"/>
    </row>
    <row r="510">
      <c r="E510" s="10"/>
      <c r="H510" s="27"/>
    </row>
    <row r="511">
      <c r="E511" s="10"/>
      <c r="H511" s="27"/>
    </row>
    <row r="512">
      <c r="E512" s="10"/>
      <c r="H512" s="27"/>
    </row>
    <row r="513">
      <c r="E513" s="10"/>
      <c r="H513" s="27"/>
    </row>
    <row r="514">
      <c r="E514" s="10"/>
      <c r="H514" s="27"/>
    </row>
    <row r="515">
      <c r="E515" s="10"/>
      <c r="H515" s="27"/>
    </row>
    <row r="516">
      <c r="E516" s="10"/>
      <c r="H516" s="27"/>
    </row>
    <row r="517">
      <c r="E517" s="10"/>
      <c r="H517" s="27"/>
    </row>
    <row r="518">
      <c r="E518" s="10"/>
      <c r="H518" s="27"/>
    </row>
    <row r="519">
      <c r="E519" s="10"/>
      <c r="H519" s="27"/>
    </row>
    <row r="520">
      <c r="E520" s="10"/>
      <c r="H520" s="27"/>
    </row>
    <row r="521">
      <c r="E521" s="10"/>
      <c r="H521" s="27"/>
    </row>
    <row r="522">
      <c r="E522" s="10"/>
      <c r="H522" s="27"/>
    </row>
    <row r="523">
      <c r="E523" s="10"/>
      <c r="H523" s="27"/>
    </row>
    <row r="524">
      <c r="E524" s="10"/>
      <c r="H524" s="27"/>
    </row>
    <row r="525">
      <c r="E525" s="10"/>
      <c r="H525" s="27"/>
    </row>
    <row r="526">
      <c r="E526" s="10"/>
      <c r="H526" s="27"/>
    </row>
    <row r="527">
      <c r="E527" s="10"/>
      <c r="H527" s="27"/>
    </row>
    <row r="528">
      <c r="E528" s="10"/>
      <c r="H528" s="27"/>
    </row>
    <row r="529">
      <c r="E529" s="10"/>
      <c r="H529" s="27"/>
    </row>
    <row r="530">
      <c r="E530" s="10"/>
      <c r="H530" s="27"/>
    </row>
    <row r="531">
      <c r="E531" s="10"/>
      <c r="H531" s="27"/>
    </row>
    <row r="532">
      <c r="E532" s="10"/>
      <c r="H532" s="27"/>
    </row>
    <row r="533">
      <c r="E533" s="10"/>
      <c r="H533" s="27"/>
    </row>
    <row r="534">
      <c r="E534" s="10"/>
      <c r="H534" s="27"/>
    </row>
    <row r="535">
      <c r="E535" s="10"/>
      <c r="H535" s="27"/>
    </row>
    <row r="536">
      <c r="E536" s="10"/>
      <c r="H536" s="27"/>
    </row>
    <row r="537">
      <c r="E537" s="10"/>
      <c r="H537" s="27"/>
    </row>
    <row r="538">
      <c r="E538" s="10"/>
      <c r="H538" s="27"/>
    </row>
    <row r="539">
      <c r="E539" s="10"/>
      <c r="H539" s="27"/>
    </row>
    <row r="540">
      <c r="E540" s="10"/>
      <c r="H540" s="27"/>
    </row>
    <row r="541">
      <c r="E541" s="10"/>
      <c r="H541" s="27"/>
    </row>
    <row r="542">
      <c r="E542" s="10"/>
      <c r="H542" s="27"/>
    </row>
    <row r="543">
      <c r="E543" s="10"/>
      <c r="H543" s="27"/>
    </row>
    <row r="544">
      <c r="E544" s="10"/>
      <c r="H544" s="27"/>
    </row>
    <row r="545">
      <c r="E545" s="10"/>
      <c r="H545" s="27"/>
    </row>
    <row r="546">
      <c r="E546" s="10"/>
      <c r="H546" s="27"/>
    </row>
    <row r="547">
      <c r="E547" s="10"/>
      <c r="H547" s="27"/>
    </row>
    <row r="548">
      <c r="E548" s="10"/>
      <c r="H548" s="27"/>
    </row>
    <row r="549">
      <c r="E549" s="10"/>
      <c r="H549" s="27"/>
    </row>
    <row r="550">
      <c r="E550" s="10"/>
      <c r="H550" s="27"/>
    </row>
    <row r="551">
      <c r="E551" s="10"/>
      <c r="H551" s="27"/>
    </row>
    <row r="552">
      <c r="E552" s="10"/>
      <c r="H552" s="27"/>
    </row>
    <row r="553">
      <c r="E553" s="10"/>
      <c r="H553" s="27"/>
    </row>
    <row r="554">
      <c r="E554" s="10"/>
      <c r="H554" s="27"/>
    </row>
    <row r="555">
      <c r="E555" s="10"/>
      <c r="H555" s="27"/>
    </row>
    <row r="556">
      <c r="E556" s="10"/>
      <c r="H556" s="27"/>
    </row>
    <row r="557">
      <c r="E557" s="10"/>
      <c r="H557" s="27"/>
    </row>
    <row r="558">
      <c r="E558" s="10"/>
      <c r="H558" s="27"/>
    </row>
    <row r="559">
      <c r="E559" s="10"/>
      <c r="H559" s="27"/>
    </row>
    <row r="560">
      <c r="E560" s="10"/>
      <c r="H560" s="27"/>
    </row>
    <row r="561">
      <c r="E561" s="10"/>
      <c r="H561" s="27"/>
    </row>
    <row r="562">
      <c r="E562" s="10"/>
      <c r="H562" s="27"/>
    </row>
    <row r="563">
      <c r="E563" s="10"/>
      <c r="H563" s="27"/>
    </row>
    <row r="564">
      <c r="E564" s="10"/>
      <c r="H564" s="27"/>
    </row>
    <row r="565">
      <c r="E565" s="10"/>
      <c r="H565" s="27"/>
    </row>
    <row r="566">
      <c r="E566" s="10"/>
      <c r="H566" s="27"/>
    </row>
    <row r="567">
      <c r="E567" s="10"/>
      <c r="H567" s="27"/>
    </row>
    <row r="568">
      <c r="E568" s="10"/>
      <c r="H568" s="27"/>
    </row>
    <row r="569">
      <c r="E569" s="10"/>
      <c r="H569" s="27"/>
    </row>
    <row r="570">
      <c r="E570" s="10"/>
      <c r="H570" s="27"/>
    </row>
    <row r="571">
      <c r="E571" s="10"/>
      <c r="H571" s="27"/>
    </row>
    <row r="572">
      <c r="E572" s="10"/>
      <c r="H572" s="27"/>
    </row>
    <row r="573">
      <c r="E573" s="10"/>
      <c r="H573" s="27"/>
    </row>
    <row r="574">
      <c r="E574" s="10"/>
      <c r="H574" s="27"/>
    </row>
    <row r="575">
      <c r="E575" s="10"/>
      <c r="H575" s="27"/>
    </row>
    <row r="576">
      <c r="E576" s="10"/>
      <c r="H576" s="27"/>
    </row>
    <row r="577">
      <c r="E577" s="10"/>
      <c r="H577" s="27"/>
    </row>
    <row r="578">
      <c r="E578" s="10"/>
      <c r="H578" s="27"/>
    </row>
    <row r="579">
      <c r="E579" s="10"/>
      <c r="H579" s="27"/>
    </row>
    <row r="580">
      <c r="E580" s="10"/>
      <c r="H580" s="27"/>
    </row>
    <row r="581">
      <c r="E581" s="10"/>
      <c r="H581" s="27"/>
    </row>
    <row r="582">
      <c r="E582" s="10"/>
      <c r="H582" s="27"/>
    </row>
    <row r="583">
      <c r="E583" s="10"/>
      <c r="H583" s="27"/>
    </row>
    <row r="584">
      <c r="E584" s="10"/>
      <c r="H584" s="27"/>
    </row>
    <row r="585">
      <c r="E585" s="10"/>
      <c r="H585" s="27"/>
    </row>
    <row r="586">
      <c r="E586" s="10"/>
      <c r="H586" s="27"/>
    </row>
    <row r="587">
      <c r="E587" s="10"/>
      <c r="H587" s="27"/>
    </row>
    <row r="588">
      <c r="E588" s="10"/>
      <c r="H588" s="27"/>
    </row>
    <row r="589">
      <c r="E589" s="10"/>
      <c r="H589" s="27"/>
    </row>
    <row r="590">
      <c r="E590" s="10"/>
      <c r="H590" s="27"/>
    </row>
    <row r="591">
      <c r="E591" s="10"/>
      <c r="H591" s="27"/>
    </row>
    <row r="592">
      <c r="E592" s="10"/>
      <c r="H592" s="27"/>
    </row>
    <row r="593">
      <c r="E593" s="10"/>
      <c r="H593" s="27"/>
    </row>
    <row r="594">
      <c r="E594" s="10"/>
      <c r="H594" s="27"/>
    </row>
    <row r="595">
      <c r="E595" s="10"/>
      <c r="H595" s="27"/>
    </row>
    <row r="596">
      <c r="E596" s="10"/>
      <c r="H596" s="27"/>
    </row>
    <row r="597">
      <c r="E597" s="10"/>
      <c r="H597" s="27"/>
    </row>
    <row r="598">
      <c r="E598" s="10"/>
      <c r="H598" s="27"/>
    </row>
    <row r="599">
      <c r="E599" s="10"/>
      <c r="H599" s="27"/>
    </row>
    <row r="600">
      <c r="E600" s="10"/>
      <c r="H600" s="27"/>
    </row>
    <row r="601">
      <c r="E601" s="10"/>
      <c r="H601" s="27"/>
    </row>
    <row r="602">
      <c r="E602" s="10"/>
      <c r="H602" s="27"/>
    </row>
    <row r="603">
      <c r="E603" s="10"/>
      <c r="H603" s="27"/>
    </row>
    <row r="604">
      <c r="E604" s="10"/>
      <c r="H604" s="27"/>
    </row>
    <row r="605">
      <c r="E605" s="10"/>
      <c r="H605" s="27"/>
    </row>
    <row r="606">
      <c r="E606" s="10"/>
      <c r="H606" s="27"/>
    </row>
    <row r="607">
      <c r="E607" s="10"/>
      <c r="H607" s="27"/>
    </row>
    <row r="608">
      <c r="E608" s="10"/>
      <c r="H608" s="27"/>
    </row>
    <row r="609">
      <c r="E609" s="10"/>
      <c r="H609" s="27"/>
    </row>
    <row r="610">
      <c r="E610" s="10"/>
      <c r="H610" s="27"/>
    </row>
    <row r="611">
      <c r="E611" s="10"/>
      <c r="H611" s="27"/>
    </row>
    <row r="612">
      <c r="E612" s="10"/>
      <c r="H612" s="27"/>
    </row>
    <row r="613">
      <c r="E613" s="10"/>
      <c r="H613" s="27"/>
    </row>
    <row r="614">
      <c r="E614" s="10"/>
      <c r="H614" s="27"/>
    </row>
    <row r="615">
      <c r="E615" s="10"/>
      <c r="H615" s="27"/>
    </row>
    <row r="616">
      <c r="E616" s="10"/>
      <c r="H616" s="27"/>
    </row>
    <row r="617">
      <c r="E617" s="10"/>
      <c r="H617" s="27"/>
    </row>
    <row r="618">
      <c r="E618" s="10"/>
      <c r="H618" s="27"/>
    </row>
    <row r="619">
      <c r="E619" s="10"/>
      <c r="H619" s="27"/>
    </row>
    <row r="620">
      <c r="E620" s="10"/>
      <c r="H620" s="27"/>
    </row>
    <row r="621">
      <c r="E621" s="10"/>
      <c r="H621" s="27"/>
    </row>
    <row r="622">
      <c r="E622" s="10"/>
      <c r="H622" s="27"/>
    </row>
    <row r="623">
      <c r="E623" s="10"/>
      <c r="H623" s="27"/>
    </row>
    <row r="624">
      <c r="E624" s="10"/>
      <c r="H624" s="27"/>
    </row>
    <row r="625">
      <c r="E625" s="10"/>
      <c r="H625" s="27"/>
    </row>
    <row r="626">
      <c r="E626" s="10"/>
      <c r="H626" s="27"/>
    </row>
    <row r="627">
      <c r="E627" s="10"/>
      <c r="H627" s="27"/>
    </row>
    <row r="628">
      <c r="E628" s="10"/>
      <c r="H628" s="27"/>
    </row>
    <row r="629">
      <c r="E629" s="10"/>
      <c r="H629" s="27"/>
    </row>
    <row r="630">
      <c r="E630" s="10"/>
      <c r="H630" s="27"/>
    </row>
    <row r="631">
      <c r="E631" s="10"/>
      <c r="H631" s="27"/>
    </row>
    <row r="632">
      <c r="E632" s="10"/>
      <c r="H632" s="27"/>
    </row>
    <row r="633">
      <c r="E633" s="10"/>
      <c r="H633" s="27"/>
    </row>
    <row r="634">
      <c r="E634" s="10"/>
      <c r="H634" s="27"/>
    </row>
    <row r="635">
      <c r="E635" s="10"/>
      <c r="H635" s="27"/>
    </row>
    <row r="636">
      <c r="E636" s="10"/>
      <c r="H636" s="27"/>
    </row>
    <row r="637">
      <c r="E637" s="10"/>
      <c r="H637" s="27"/>
    </row>
    <row r="638">
      <c r="E638" s="10"/>
      <c r="H638" s="27"/>
    </row>
    <row r="639">
      <c r="E639" s="10"/>
      <c r="H639" s="27"/>
    </row>
    <row r="640">
      <c r="E640" s="10"/>
      <c r="H640" s="27"/>
    </row>
    <row r="641">
      <c r="E641" s="10"/>
      <c r="H641" s="27"/>
    </row>
    <row r="642">
      <c r="E642" s="10"/>
      <c r="H642" s="27"/>
    </row>
    <row r="643">
      <c r="E643" s="10"/>
      <c r="H643" s="27"/>
    </row>
    <row r="644">
      <c r="E644" s="10"/>
      <c r="H644" s="27"/>
    </row>
    <row r="645">
      <c r="E645" s="10"/>
      <c r="H645" s="27"/>
    </row>
    <row r="646">
      <c r="E646" s="10"/>
      <c r="H646" s="27"/>
    </row>
    <row r="647">
      <c r="E647" s="10"/>
      <c r="H647" s="27"/>
    </row>
    <row r="648">
      <c r="E648" s="10"/>
      <c r="H648" s="27"/>
    </row>
    <row r="649">
      <c r="E649" s="10"/>
      <c r="H649" s="27"/>
    </row>
    <row r="650">
      <c r="E650" s="10"/>
      <c r="H650" s="27"/>
    </row>
    <row r="651">
      <c r="E651" s="10"/>
      <c r="H651" s="27"/>
    </row>
    <row r="652">
      <c r="E652" s="10"/>
      <c r="H652" s="27"/>
    </row>
    <row r="653">
      <c r="E653" s="10"/>
      <c r="H653" s="27"/>
    </row>
    <row r="654">
      <c r="E654" s="10"/>
      <c r="H654" s="27"/>
    </row>
    <row r="655">
      <c r="E655" s="10"/>
      <c r="H655" s="27"/>
    </row>
    <row r="656">
      <c r="E656" s="10"/>
      <c r="H656" s="27"/>
    </row>
    <row r="657">
      <c r="E657" s="10"/>
      <c r="H657" s="27"/>
    </row>
    <row r="658">
      <c r="E658" s="10"/>
      <c r="H658" s="27"/>
    </row>
    <row r="659">
      <c r="E659" s="10"/>
      <c r="H659" s="27"/>
    </row>
    <row r="660">
      <c r="E660" s="10"/>
      <c r="H660" s="27"/>
    </row>
    <row r="661">
      <c r="E661" s="10"/>
      <c r="H661" s="27"/>
    </row>
    <row r="662">
      <c r="E662" s="10"/>
      <c r="H662" s="27"/>
    </row>
    <row r="663">
      <c r="E663" s="10"/>
      <c r="H663" s="27"/>
    </row>
    <row r="664">
      <c r="E664" s="10"/>
      <c r="H664" s="27"/>
    </row>
    <row r="665">
      <c r="E665" s="10"/>
      <c r="H665" s="27"/>
    </row>
    <row r="666">
      <c r="E666" s="10"/>
      <c r="H666" s="27"/>
    </row>
    <row r="667">
      <c r="E667" s="10"/>
      <c r="H667" s="27"/>
    </row>
    <row r="668">
      <c r="E668" s="10"/>
      <c r="H668" s="27"/>
    </row>
    <row r="669">
      <c r="E669" s="10"/>
      <c r="H669" s="27"/>
    </row>
    <row r="670">
      <c r="E670" s="10"/>
      <c r="H670" s="27"/>
    </row>
    <row r="671">
      <c r="E671" s="10"/>
      <c r="H671" s="27"/>
    </row>
    <row r="672">
      <c r="E672" s="10"/>
      <c r="H672" s="27"/>
    </row>
    <row r="673">
      <c r="E673" s="10"/>
      <c r="H673" s="27"/>
    </row>
    <row r="674">
      <c r="E674" s="10"/>
      <c r="H674" s="27"/>
    </row>
    <row r="675">
      <c r="E675" s="10"/>
      <c r="H675" s="27"/>
    </row>
    <row r="676">
      <c r="E676" s="10"/>
      <c r="H676" s="27"/>
    </row>
    <row r="677">
      <c r="E677" s="10"/>
      <c r="H677" s="27"/>
    </row>
    <row r="678">
      <c r="E678" s="10"/>
      <c r="H678" s="27"/>
    </row>
    <row r="679">
      <c r="E679" s="10"/>
      <c r="H679" s="27"/>
    </row>
    <row r="680">
      <c r="E680" s="10"/>
      <c r="H680" s="27"/>
    </row>
    <row r="681">
      <c r="E681" s="10"/>
      <c r="H681" s="27"/>
    </row>
    <row r="682">
      <c r="E682" s="10"/>
      <c r="H682" s="27"/>
    </row>
    <row r="683">
      <c r="E683" s="10"/>
      <c r="H683" s="27"/>
    </row>
    <row r="684">
      <c r="E684" s="10"/>
      <c r="H684" s="27"/>
    </row>
    <row r="685">
      <c r="E685" s="10"/>
      <c r="H685" s="27"/>
    </row>
    <row r="686">
      <c r="E686" s="10"/>
      <c r="H686" s="27"/>
    </row>
    <row r="687">
      <c r="E687" s="10"/>
      <c r="H687" s="27"/>
    </row>
    <row r="688">
      <c r="E688" s="10"/>
      <c r="H688" s="27"/>
    </row>
    <row r="689">
      <c r="E689" s="10"/>
      <c r="H689" s="27"/>
    </row>
    <row r="690">
      <c r="E690" s="10"/>
      <c r="H690" s="27"/>
    </row>
    <row r="691">
      <c r="E691" s="10"/>
      <c r="H691" s="27"/>
    </row>
    <row r="692">
      <c r="E692" s="10"/>
      <c r="H692" s="27"/>
    </row>
    <row r="693">
      <c r="E693" s="10"/>
      <c r="H693" s="27"/>
    </row>
    <row r="694">
      <c r="E694" s="10"/>
      <c r="H694" s="27"/>
    </row>
    <row r="695">
      <c r="E695" s="10"/>
      <c r="H695" s="27"/>
    </row>
    <row r="696">
      <c r="E696" s="10"/>
      <c r="H696" s="27"/>
    </row>
    <row r="697">
      <c r="E697" s="10"/>
      <c r="H697" s="27"/>
    </row>
    <row r="698">
      <c r="E698" s="10"/>
      <c r="H698" s="27"/>
    </row>
    <row r="699">
      <c r="E699" s="10"/>
      <c r="H699" s="27"/>
    </row>
    <row r="700">
      <c r="E700" s="10"/>
      <c r="H700" s="27"/>
    </row>
    <row r="701">
      <c r="E701" s="10"/>
      <c r="H701" s="27"/>
    </row>
    <row r="702">
      <c r="E702" s="10"/>
      <c r="H702" s="27"/>
    </row>
    <row r="703">
      <c r="E703" s="10"/>
      <c r="H703" s="27"/>
    </row>
    <row r="704">
      <c r="E704" s="10"/>
      <c r="H704" s="27"/>
    </row>
    <row r="705">
      <c r="E705" s="10"/>
      <c r="H705" s="27"/>
    </row>
    <row r="706">
      <c r="E706" s="10"/>
      <c r="H706" s="27"/>
    </row>
    <row r="707">
      <c r="E707" s="10"/>
      <c r="H707" s="27"/>
    </row>
    <row r="708">
      <c r="E708" s="10"/>
      <c r="H708" s="27"/>
    </row>
    <row r="709">
      <c r="E709" s="10"/>
      <c r="H709" s="27"/>
    </row>
    <row r="710">
      <c r="E710" s="10"/>
      <c r="H710" s="27"/>
    </row>
    <row r="711">
      <c r="E711" s="10"/>
      <c r="H711" s="27"/>
    </row>
    <row r="712">
      <c r="E712" s="10"/>
      <c r="H712" s="27"/>
    </row>
    <row r="713">
      <c r="E713" s="10"/>
      <c r="H713" s="27"/>
    </row>
    <row r="714">
      <c r="E714" s="10"/>
      <c r="H714" s="27"/>
    </row>
    <row r="715">
      <c r="E715" s="10"/>
      <c r="H715" s="27"/>
    </row>
    <row r="716">
      <c r="E716" s="10"/>
      <c r="H716" s="27"/>
    </row>
    <row r="717">
      <c r="E717" s="10"/>
      <c r="H717" s="27"/>
    </row>
    <row r="718">
      <c r="E718" s="10"/>
      <c r="H718" s="27"/>
    </row>
    <row r="719">
      <c r="E719" s="10"/>
      <c r="H719" s="27"/>
    </row>
    <row r="720">
      <c r="E720" s="10"/>
      <c r="H720" s="27"/>
    </row>
    <row r="721">
      <c r="E721" s="10"/>
      <c r="H721" s="27"/>
    </row>
    <row r="722">
      <c r="E722" s="10"/>
      <c r="H722" s="27"/>
    </row>
    <row r="723">
      <c r="E723" s="10"/>
      <c r="H723" s="27"/>
    </row>
    <row r="724">
      <c r="E724" s="10"/>
      <c r="H724" s="27"/>
    </row>
    <row r="725">
      <c r="E725" s="10"/>
      <c r="H725" s="27"/>
    </row>
    <row r="726">
      <c r="E726" s="10"/>
      <c r="H726" s="27"/>
    </row>
    <row r="727">
      <c r="E727" s="10"/>
      <c r="H727" s="27"/>
    </row>
    <row r="728">
      <c r="E728" s="10"/>
      <c r="H728" s="27"/>
    </row>
    <row r="729">
      <c r="E729" s="10"/>
      <c r="H729" s="27"/>
    </row>
    <row r="730">
      <c r="E730" s="10"/>
      <c r="H730" s="27"/>
    </row>
    <row r="731">
      <c r="E731" s="10"/>
      <c r="H731" s="27"/>
    </row>
    <row r="732">
      <c r="E732" s="10"/>
      <c r="H732" s="27"/>
    </row>
    <row r="733">
      <c r="E733" s="10"/>
      <c r="H733" s="27"/>
    </row>
    <row r="734">
      <c r="E734" s="10"/>
      <c r="H734" s="27"/>
    </row>
    <row r="735">
      <c r="E735" s="10"/>
      <c r="H735" s="27"/>
    </row>
    <row r="736">
      <c r="E736" s="10"/>
      <c r="H736" s="27"/>
    </row>
    <row r="737">
      <c r="E737" s="10"/>
      <c r="H737" s="27"/>
    </row>
    <row r="738">
      <c r="E738" s="10"/>
      <c r="H738" s="27"/>
    </row>
    <row r="739">
      <c r="E739" s="10"/>
      <c r="H739" s="27"/>
    </row>
    <row r="740">
      <c r="E740" s="10"/>
      <c r="H740" s="27"/>
    </row>
    <row r="741">
      <c r="E741" s="10"/>
      <c r="H741" s="27"/>
    </row>
    <row r="742">
      <c r="E742" s="10"/>
      <c r="H742" s="27"/>
    </row>
    <row r="743">
      <c r="E743" s="10"/>
      <c r="H743" s="27"/>
    </row>
    <row r="744">
      <c r="E744" s="10"/>
      <c r="H744" s="27"/>
    </row>
    <row r="745">
      <c r="E745" s="10"/>
      <c r="H745" s="27"/>
    </row>
    <row r="746">
      <c r="E746" s="10"/>
      <c r="H746" s="27"/>
    </row>
    <row r="747">
      <c r="E747" s="10"/>
      <c r="H747" s="27"/>
    </row>
    <row r="748">
      <c r="E748" s="10"/>
      <c r="H748" s="27"/>
    </row>
    <row r="749">
      <c r="E749" s="10"/>
      <c r="H749" s="27"/>
    </row>
    <row r="750">
      <c r="E750" s="10"/>
      <c r="H750" s="27"/>
    </row>
    <row r="751">
      <c r="E751" s="10"/>
      <c r="H751" s="27"/>
    </row>
    <row r="752">
      <c r="E752" s="10"/>
      <c r="H752" s="27"/>
    </row>
    <row r="753">
      <c r="E753" s="10"/>
      <c r="H753" s="27"/>
    </row>
    <row r="754">
      <c r="E754" s="10"/>
      <c r="H754" s="27"/>
    </row>
    <row r="755">
      <c r="E755" s="10"/>
      <c r="H755" s="27"/>
    </row>
    <row r="756">
      <c r="E756" s="10"/>
      <c r="H756" s="27"/>
    </row>
    <row r="757">
      <c r="E757" s="10"/>
      <c r="H757" s="27"/>
    </row>
    <row r="758">
      <c r="E758" s="10"/>
      <c r="H758" s="27"/>
    </row>
    <row r="759">
      <c r="E759" s="10"/>
      <c r="H759" s="27"/>
    </row>
    <row r="760">
      <c r="E760" s="10"/>
      <c r="H760" s="27"/>
    </row>
    <row r="761">
      <c r="E761" s="10"/>
      <c r="H761" s="27"/>
    </row>
    <row r="762">
      <c r="E762" s="10"/>
      <c r="H762" s="27"/>
    </row>
    <row r="763">
      <c r="E763" s="10"/>
      <c r="H763" s="27"/>
    </row>
    <row r="764">
      <c r="E764" s="10"/>
      <c r="H764" s="27"/>
    </row>
    <row r="765">
      <c r="E765" s="10"/>
      <c r="H765" s="27"/>
    </row>
    <row r="766">
      <c r="E766" s="10"/>
      <c r="H766" s="27"/>
    </row>
    <row r="767">
      <c r="E767" s="10"/>
      <c r="H767" s="27"/>
    </row>
    <row r="768">
      <c r="E768" s="10"/>
      <c r="H768" s="27"/>
    </row>
    <row r="769">
      <c r="E769" s="10"/>
      <c r="H769" s="27"/>
    </row>
    <row r="770">
      <c r="E770" s="10"/>
      <c r="H770" s="27"/>
    </row>
    <row r="771">
      <c r="E771" s="10"/>
      <c r="H771" s="27"/>
    </row>
    <row r="772">
      <c r="E772" s="10"/>
      <c r="H772" s="27"/>
    </row>
    <row r="773">
      <c r="E773" s="10"/>
      <c r="H773" s="27"/>
    </row>
    <row r="774">
      <c r="E774" s="10"/>
      <c r="H774" s="27"/>
    </row>
    <row r="775">
      <c r="E775" s="10"/>
      <c r="H775" s="27"/>
    </row>
    <row r="776">
      <c r="E776" s="10"/>
      <c r="H776" s="27"/>
    </row>
    <row r="777">
      <c r="E777" s="10"/>
      <c r="H777" s="27"/>
    </row>
    <row r="778">
      <c r="E778" s="10"/>
      <c r="H778" s="27"/>
    </row>
    <row r="779">
      <c r="E779" s="10"/>
      <c r="H779" s="27"/>
    </row>
    <row r="780">
      <c r="E780" s="10"/>
      <c r="H780" s="27"/>
    </row>
    <row r="781">
      <c r="E781" s="10"/>
      <c r="H781" s="27"/>
    </row>
    <row r="782">
      <c r="E782" s="10"/>
      <c r="H782" s="27"/>
    </row>
    <row r="783">
      <c r="E783" s="10"/>
      <c r="H783" s="27"/>
    </row>
    <row r="784">
      <c r="E784" s="10"/>
      <c r="H784" s="27"/>
    </row>
    <row r="785">
      <c r="E785" s="10"/>
      <c r="H785" s="27"/>
    </row>
    <row r="786">
      <c r="E786" s="10"/>
      <c r="H786" s="27"/>
    </row>
    <row r="787">
      <c r="E787" s="10"/>
      <c r="H787" s="27"/>
    </row>
    <row r="788">
      <c r="E788" s="10"/>
      <c r="H788" s="27"/>
    </row>
    <row r="789">
      <c r="E789" s="10"/>
      <c r="H789" s="27"/>
    </row>
    <row r="790">
      <c r="E790" s="10"/>
      <c r="H790" s="27"/>
    </row>
    <row r="791">
      <c r="E791" s="10"/>
      <c r="H791" s="27"/>
    </row>
    <row r="792">
      <c r="E792" s="10"/>
      <c r="H792" s="27"/>
    </row>
    <row r="793">
      <c r="E793" s="10"/>
      <c r="H793" s="27"/>
    </row>
    <row r="794">
      <c r="E794" s="10"/>
      <c r="H794" s="27"/>
    </row>
    <row r="795">
      <c r="E795" s="10"/>
      <c r="H795" s="27"/>
    </row>
    <row r="796">
      <c r="E796" s="10"/>
      <c r="H796" s="27"/>
    </row>
    <row r="797">
      <c r="E797" s="10"/>
      <c r="H797" s="27"/>
    </row>
    <row r="798">
      <c r="E798" s="10"/>
      <c r="H798" s="27"/>
    </row>
    <row r="799">
      <c r="E799" s="10"/>
      <c r="H799" s="27"/>
    </row>
    <row r="800">
      <c r="E800" s="10"/>
      <c r="H800" s="27"/>
    </row>
    <row r="801">
      <c r="E801" s="10"/>
      <c r="H801" s="27"/>
    </row>
    <row r="802">
      <c r="E802" s="10"/>
      <c r="H802" s="27"/>
    </row>
    <row r="803">
      <c r="E803" s="10"/>
      <c r="H803" s="27"/>
    </row>
    <row r="804">
      <c r="E804" s="10"/>
      <c r="H804" s="27"/>
    </row>
    <row r="805">
      <c r="E805" s="10"/>
      <c r="H805" s="27"/>
    </row>
    <row r="806">
      <c r="E806" s="10"/>
      <c r="H806" s="27"/>
    </row>
    <row r="807">
      <c r="E807" s="10"/>
      <c r="H807" s="27"/>
    </row>
    <row r="808">
      <c r="E808" s="10"/>
      <c r="H808" s="27"/>
    </row>
    <row r="809">
      <c r="E809" s="10"/>
      <c r="H809" s="27"/>
    </row>
    <row r="810">
      <c r="E810" s="10"/>
      <c r="H810" s="27"/>
    </row>
    <row r="811">
      <c r="E811" s="10"/>
      <c r="H811" s="27"/>
    </row>
    <row r="812">
      <c r="E812" s="10"/>
      <c r="H812" s="27"/>
    </row>
    <row r="813">
      <c r="E813" s="10"/>
      <c r="H813" s="27"/>
    </row>
    <row r="814">
      <c r="E814" s="10"/>
      <c r="H814" s="27"/>
    </row>
    <row r="815">
      <c r="E815" s="10"/>
      <c r="H815" s="27"/>
    </row>
    <row r="816">
      <c r="E816" s="10"/>
      <c r="H816" s="27"/>
    </row>
    <row r="817">
      <c r="E817" s="10"/>
      <c r="H817" s="27"/>
    </row>
    <row r="818">
      <c r="E818" s="10"/>
      <c r="H818" s="27"/>
    </row>
    <row r="819">
      <c r="E819" s="10"/>
      <c r="H819" s="27"/>
    </row>
    <row r="820">
      <c r="E820" s="10"/>
      <c r="H820" s="27"/>
    </row>
    <row r="821">
      <c r="E821" s="10"/>
      <c r="H821" s="27"/>
    </row>
    <row r="822">
      <c r="E822" s="10"/>
      <c r="H822" s="27"/>
    </row>
    <row r="823">
      <c r="E823" s="10"/>
      <c r="H823" s="27"/>
    </row>
    <row r="824">
      <c r="E824" s="10"/>
      <c r="H824" s="27"/>
    </row>
    <row r="825">
      <c r="E825" s="10"/>
      <c r="H825" s="27"/>
    </row>
    <row r="826">
      <c r="E826" s="10"/>
      <c r="H826" s="27"/>
    </row>
    <row r="827">
      <c r="E827" s="10"/>
      <c r="H827" s="27"/>
    </row>
    <row r="828">
      <c r="E828" s="10"/>
      <c r="H828" s="27"/>
    </row>
    <row r="829">
      <c r="E829" s="10"/>
      <c r="H829" s="27"/>
    </row>
    <row r="830">
      <c r="E830" s="10"/>
      <c r="H830" s="27"/>
    </row>
    <row r="831">
      <c r="E831" s="10"/>
      <c r="H831" s="27"/>
    </row>
    <row r="832">
      <c r="E832" s="10"/>
      <c r="H832" s="27"/>
    </row>
    <row r="833">
      <c r="E833" s="10"/>
      <c r="H833" s="27"/>
    </row>
    <row r="834">
      <c r="E834" s="10"/>
      <c r="H834" s="27"/>
    </row>
    <row r="835">
      <c r="E835" s="10"/>
      <c r="H835" s="27"/>
    </row>
    <row r="836">
      <c r="E836" s="10"/>
      <c r="H836" s="27"/>
    </row>
    <row r="837">
      <c r="E837" s="10"/>
      <c r="H837" s="27"/>
    </row>
    <row r="838">
      <c r="E838" s="10"/>
      <c r="H838" s="27"/>
    </row>
    <row r="839">
      <c r="E839" s="10"/>
      <c r="H839" s="27"/>
    </row>
    <row r="840">
      <c r="E840" s="10"/>
      <c r="H840" s="27"/>
    </row>
    <row r="841">
      <c r="E841" s="10"/>
      <c r="H841" s="27"/>
    </row>
    <row r="842">
      <c r="E842" s="10"/>
      <c r="H842" s="27"/>
    </row>
    <row r="843">
      <c r="E843" s="10"/>
      <c r="H843" s="27"/>
    </row>
    <row r="844">
      <c r="E844" s="10"/>
      <c r="H844" s="27"/>
    </row>
    <row r="845">
      <c r="E845" s="10"/>
      <c r="H845" s="27"/>
    </row>
    <row r="846">
      <c r="E846" s="10"/>
      <c r="H846" s="27"/>
    </row>
    <row r="847">
      <c r="E847" s="10"/>
      <c r="H847" s="27"/>
    </row>
    <row r="848">
      <c r="E848" s="10"/>
      <c r="H848" s="27"/>
    </row>
    <row r="849">
      <c r="E849" s="10"/>
      <c r="H849" s="27"/>
    </row>
    <row r="850">
      <c r="E850" s="10"/>
      <c r="H850" s="27"/>
    </row>
    <row r="851">
      <c r="E851" s="10"/>
      <c r="H851" s="27"/>
    </row>
    <row r="852">
      <c r="E852" s="10"/>
      <c r="H852" s="27"/>
    </row>
    <row r="853">
      <c r="E853" s="10"/>
      <c r="H853" s="27"/>
    </row>
    <row r="854">
      <c r="E854" s="10"/>
      <c r="H854" s="27"/>
    </row>
    <row r="855">
      <c r="E855" s="10"/>
      <c r="H855" s="27"/>
    </row>
    <row r="856">
      <c r="E856" s="10"/>
      <c r="H856" s="27"/>
    </row>
    <row r="857">
      <c r="E857" s="10"/>
      <c r="H857" s="27"/>
    </row>
    <row r="858">
      <c r="E858" s="10"/>
      <c r="H858" s="27"/>
    </row>
    <row r="859">
      <c r="E859" s="10"/>
      <c r="H859" s="27"/>
    </row>
    <row r="860">
      <c r="E860" s="10"/>
      <c r="H860" s="27"/>
    </row>
    <row r="861">
      <c r="E861" s="10"/>
      <c r="H861" s="27"/>
    </row>
    <row r="862">
      <c r="E862" s="10"/>
      <c r="H862" s="27"/>
    </row>
    <row r="863">
      <c r="E863" s="10"/>
      <c r="H863" s="27"/>
    </row>
    <row r="864">
      <c r="E864" s="10"/>
      <c r="H864" s="27"/>
    </row>
    <row r="865">
      <c r="E865" s="10"/>
      <c r="H865" s="27"/>
    </row>
    <row r="866">
      <c r="E866" s="10"/>
      <c r="H866" s="27"/>
    </row>
    <row r="867">
      <c r="E867" s="10"/>
      <c r="H867" s="27"/>
    </row>
    <row r="868">
      <c r="E868" s="10"/>
      <c r="H868" s="27"/>
    </row>
    <row r="869">
      <c r="E869" s="10"/>
      <c r="H869" s="27"/>
    </row>
    <row r="870">
      <c r="E870" s="10"/>
      <c r="H870" s="27"/>
    </row>
    <row r="871">
      <c r="E871" s="10"/>
      <c r="H871" s="27"/>
    </row>
    <row r="872">
      <c r="E872" s="10"/>
      <c r="H872" s="27"/>
    </row>
    <row r="873">
      <c r="E873" s="10"/>
      <c r="H873" s="27"/>
    </row>
    <row r="874">
      <c r="E874" s="10"/>
      <c r="H874" s="27"/>
    </row>
    <row r="875">
      <c r="E875" s="10"/>
      <c r="H875" s="27"/>
    </row>
    <row r="876">
      <c r="E876" s="10"/>
      <c r="H876" s="27"/>
    </row>
    <row r="877">
      <c r="E877" s="10"/>
      <c r="H877" s="27"/>
    </row>
    <row r="878">
      <c r="E878" s="10"/>
      <c r="H878" s="27"/>
    </row>
    <row r="879">
      <c r="E879" s="10"/>
      <c r="H879" s="27"/>
    </row>
    <row r="880">
      <c r="E880" s="10"/>
      <c r="H880" s="27"/>
    </row>
    <row r="881">
      <c r="E881" s="10"/>
      <c r="H881" s="27"/>
    </row>
    <row r="882">
      <c r="E882" s="10"/>
      <c r="H882" s="27"/>
    </row>
    <row r="883">
      <c r="E883" s="10"/>
      <c r="H883" s="27"/>
    </row>
    <row r="884">
      <c r="E884" s="10"/>
      <c r="H884" s="27"/>
    </row>
    <row r="885">
      <c r="E885" s="10"/>
      <c r="H885" s="27"/>
    </row>
    <row r="886">
      <c r="E886" s="10"/>
      <c r="H886" s="27"/>
    </row>
    <row r="887">
      <c r="E887" s="10"/>
      <c r="H887" s="27"/>
    </row>
    <row r="888">
      <c r="E888" s="10"/>
      <c r="H888" s="27"/>
    </row>
    <row r="889">
      <c r="E889" s="10"/>
      <c r="H889" s="27"/>
    </row>
    <row r="890">
      <c r="E890" s="10"/>
      <c r="H890" s="27"/>
    </row>
    <row r="891">
      <c r="E891" s="10"/>
      <c r="H891" s="27"/>
    </row>
    <row r="892">
      <c r="E892" s="10"/>
      <c r="H892" s="27"/>
    </row>
    <row r="893">
      <c r="E893" s="10"/>
      <c r="H893" s="27"/>
    </row>
    <row r="894">
      <c r="E894" s="10"/>
      <c r="H894" s="27"/>
    </row>
    <row r="895">
      <c r="E895" s="10"/>
      <c r="H895" s="27"/>
    </row>
    <row r="896">
      <c r="E896" s="10"/>
      <c r="H896" s="27"/>
    </row>
    <row r="897">
      <c r="E897" s="10"/>
      <c r="H897" s="27"/>
    </row>
    <row r="898">
      <c r="E898" s="10"/>
      <c r="H898" s="27"/>
    </row>
    <row r="899">
      <c r="E899" s="10"/>
      <c r="H899" s="27"/>
    </row>
    <row r="900">
      <c r="E900" s="10"/>
      <c r="H900" s="27"/>
    </row>
    <row r="901">
      <c r="E901" s="10"/>
      <c r="H901" s="27"/>
    </row>
    <row r="902">
      <c r="E902" s="10"/>
      <c r="H902" s="27"/>
    </row>
    <row r="903">
      <c r="E903" s="10"/>
      <c r="H903" s="27"/>
    </row>
    <row r="904">
      <c r="E904" s="10"/>
      <c r="H904" s="27"/>
    </row>
    <row r="905">
      <c r="E905" s="10"/>
      <c r="H905" s="27"/>
    </row>
    <row r="906">
      <c r="E906" s="10"/>
      <c r="H906" s="27"/>
    </row>
    <row r="907">
      <c r="E907" s="10"/>
      <c r="H907" s="27"/>
    </row>
    <row r="908">
      <c r="E908" s="10"/>
      <c r="H908" s="27"/>
    </row>
    <row r="909">
      <c r="E909" s="10"/>
      <c r="H909" s="27"/>
    </row>
    <row r="910">
      <c r="E910" s="10"/>
      <c r="H910" s="27"/>
    </row>
    <row r="911">
      <c r="E911" s="10"/>
      <c r="H911" s="27"/>
    </row>
    <row r="912">
      <c r="E912" s="10"/>
      <c r="H912" s="27"/>
    </row>
    <row r="913">
      <c r="E913" s="10"/>
      <c r="H913" s="27"/>
    </row>
    <row r="914">
      <c r="E914" s="10"/>
      <c r="H914" s="27"/>
    </row>
    <row r="915">
      <c r="E915" s="10"/>
      <c r="H915" s="27"/>
    </row>
    <row r="916">
      <c r="E916" s="10"/>
      <c r="H916" s="27"/>
    </row>
    <row r="917">
      <c r="E917" s="10"/>
      <c r="H917" s="27"/>
    </row>
    <row r="918">
      <c r="E918" s="10"/>
      <c r="H918" s="27"/>
    </row>
    <row r="919">
      <c r="E919" s="10"/>
      <c r="H919" s="27"/>
    </row>
    <row r="920">
      <c r="E920" s="10"/>
      <c r="H920" s="27"/>
    </row>
    <row r="921">
      <c r="E921" s="10"/>
      <c r="H921" s="27"/>
    </row>
    <row r="922">
      <c r="E922" s="10"/>
      <c r="H922" s="27"/>
    </row>
    <row r="923">
      <c r="E923" s="10"/>
      <c r="H923" s="27"/>
    </row>
    <row r="924">
      <c r="E924" s="10"/>
      <c r="H924" s="27"/>
    </row>
    <row r="925">
      <c r="E925" s="10"/>
      <c r="H925" s="27"/>
    </row>
    <row r="926">
      <c r="E926" s="10"/>
      <c r="H926" s="27"/>
    </row>
    <row r="927">
      <c r="E927" s="10"/>
      <c r="H927" s="27"/>
    </row>
    <row r="928">
      <c r="E928" s="10"/>
      <c r="H928" s="27"/>
    </row>
    <row r="929">
      <c r="E929" s="10"/>
      <c r="H929" s="27"/>
    </row>
    <row r="930">
      <c r="E930" s="10"/>
      <c r="H930" s="27"/>
    </row>
    <row r="931">
      <c r="E931" s="10"/>
      <c r="H931" s="27"/>
    </row>
    <row r="932">
      <c r="E932" s="10"/>
      <c r="H932" s="27"/>
    </row>
    <row r="933">
      <c r="E933" s="10"/>
      <c r="H933" s="27"/>
    </row>
    <row r="934">
      <c r="E934" s="10"/>
      <c r="H934" s="27"/>
    </row>
    <row r="935">
      <c r="E935" s="10"/>
      <c r="H935" s="27"/>
    </row>
    <row r="936">
      <c r="E936" s="10"/>
      <c r="H936" s="27"/>
    </row>
    <row r="937">
      <c r="E937" s="10"/>
      <c r="H937" s="27"/>
    </row>
    <row r="938">
      <c r="E938" s="10"/>
      <c r="H938" s="27"/>
    </row>
    <row r="939">
      <c r="E939" s="10"/>
      <c r="H939" s="27"/>
    </row>
    <row r="940">
      <c r="E940" s="10"/>
      <c r="H940" s="27"/>
    </row>
    <row r="941">
      <c r="E941" s="10"/>
      <c r="H941" s="27"/>
    </row>
    <row r="942">
      <c r="E942" s="10"/>
      <c r="H942" s="27"/>
    </row>
    <row r="943">
      <c r="E943" s="10"/>
      <c r="H943" s="27"/>
    </row>
    <row r="944">
      <c r="E944" s="10"/>
      <c r="H944" s="27"/>
    </row>
    <row r="945">
      <c r="E945" s="10"/>
      <c r="H945" s="27"/>
    </row>
    <row r="946">
      <c r="E946" s="10"/>
      <c r="H946" s="27"/>
    </row>
    <row r="947">
      <c r="E947" s="10"/>
      <c r="H947" s="27"/>
    </row>
    <row r="948">
      <c r="E948" s="10"/>
      <c r="H948" s="27"/>
    </row>
    <row r="949">
      <c r="E949" s="10"/>
      <c r="H949" s="27"/>
    </row>
    <row r="950">
      <c r="E950" s="10"/>
      <c r="H950" s="27"/>
    </row>
    <row r="951">
      <c r="E951" s="10"/>
      <c r="H951" s="27"/>
    </row>
    <row r="952">
      <c r="E952" s="10"/>
      <c r="H952" s="27"/>
    </row>
    <row r="953">
      <c r="E953" s="10"/>
      <c r="H953" s="27"/>
    </row>
    <row r="954">
      <c r="E954" s="10"/>
      <c r="H954" s="27"/>
    </row>
    <row r="955">
      <c r="E955" s="10"/>
      <c r="H955" s="27"/>
    </row>
    <row r="956">
      <c r="E956" s="10"/>
      <c r="H956" s="27"/>
    </row>
    <row r="957">
      <c r="E957" s="10"/>
      <c r="H957" s="27"/>
    </row>
    <row r="958">
      <c r="E958" s="10"/>
      <c r="H958" s="27"/>
    </row>
    <row r="959">
      <c r="E959" s="10"/>
      <c r="H959" s="27"/>
    </row>
    <row r="960">
      <c r="E960" s="10"/>
      <c r="H960" s="27"/>
    </row>
    <row r="961">
      <c r="E961" s="10"/>
      <c r="H961" s="27"/>
    </row>
    <row r="962">
      <c r="E962" s="10"/>
      <c r="H962" s="27"/>
    </row>
    <row r="963">
      <c r="E963" s="10"/>
      <c r="H963" s="27"/>
    </row>
    <row r="964">
      <c r="E964" s="10"/>
      <c r="H964" s="27"/>
    </row>
    <row r="965">
      <c r="E965" s="10"/>
      <c r="H965" s="27"/>
    </row>
    <row r="966">
      <c r="E966" s="10"/>
      <c r="H966" s="27"/>
    </row>
    <row r="967">
      <c r="E967" s="10"/>
      <c r="H967" s="27"/>
    </row>
    <row r="968">
      <c r="E968" s="10"/>
      <c r="H968" s="27"/>
    </row>
    <row r="969">
      <c r="E969" s="10"/>
      <c r="H969" s="27"/>
    </row>
    <row r="970">
      <c r="E970" s="10"/>
      <c r="H970" s="27"/>
    </row>
    <row r="971">
      <c r="E971" s="10"/>
      <c r="H971" s="27"/>
    </row>
    <row r="972">
      <c r="E972" s="10"/>
      <c r="H972" s="27"/>
    </row>
    <row r="973">
      <c r="E973" s="10"/>
      <c r="H973" s="27"/>
    </row>
    <row r="974">
      <c r="E974" s="10"/>
      <c r="H974" s="27"/>
    </row>
    <row r="975">
      <c r="E975" s="10"/>
      <c r="H975" s="27"/>
    </row>
    <row r="976">
      <c r="E976" s="10"/>
      <c r="H976" s="27"/>
    </row>
    <row r="977">
      <c r="E977" s="10"/>
      <c r="H977" s="27"/>
    </row>
    <row r="978">
      <c r="E978" s="10"/>
      <c r="H978" s="27"/>
    </row>
    <row r="979">
      <c r="E979" s="10"/>
      <c r="H979" s="27"/>
    </row>
    <row r="980">
      <c r="E980" s="10"/>
      <c r="H980" s="27"/>
    </row>
    <row r="981">
      <c r="E981" s="10"/>
      <c r="H981" s="27"/>
    </row>
    <row r="982">
      <c r="E982" s="10"/>
      <c r="H982" s="27"/>
    </row>
    <row r="983">
      <c r="E983" s="10"/>
      <c r="H983" s="27"/>
    </row>
    <row r="984">
      <c r="E984" s="10"/>
      <c r="H984" s="27"/>
    </row>
    <row r="985">
      <c r="E985" s="10"/>
      <c r="H985" s="27"/>
    </row>
    <row r="986">
      <c r="E986" s="10"/>
      <c r="H986" s="27"/>
    </row>
    <row r="987">
      <c r="E987" s="10"/>
      <c r="H987" s="27"/>
    </row>
    <row r="988">
      <c r="E988" s="10"/>
      <c r="H988" s="27"/>
    </row>
    <row r="989">
      <c r="E989" s="10"/>
      <c r="H989" s="27"/>
    </row>
    <row r="990">
      <c r="E990" s="10"/>
      <c r="H990" s="27"/>
    </row>
    <row r="991">
      <c r="E991" s="10"/>
      <c r="H991" s="27"/>
    </row>
    <row r="992">
      <c r="E992" s="10"/>
      <c r="H992" s="27"/>
    </row>
    <row r="993">
      <c r="E993" s="10"/>
      <c r="H993" s="27"/>
    </row>
    <row r="994">
      <c r="E994" s="10"/>
      <c r="H994" s="27"/>
    </row>
    <row r="995">
      <c r="E995" s="10"/>
      <c r="H995" s="27"/>
    </row>
    <row r="996">
      <c r="E996" s="10"/>
      <c r="H996" s="27"/>
    </row>
    <row r="997">
      <c r="E997" s="10"/>
      <c r="H997" s="27"/>
    </row>
    <row r="998">
      <c r="E998" s="10"/>
      <c r="H998" s="27"/>
    </row>
    <row r="999">
      <c r="E999" s="10"/>
      <c r="H999" s="27"/>
    </row>
    <row r="1000">
      <c r="E1000" s="10"/>
      <c r="H1000" s="27"/>
    </row>
    <row r="1001">
      <c r="E1001" s="10"/>
      <c r="H1001" s="27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0.75"/>
    <col customWidth="1" min="2" max="2" width="5.13"/>
    <col customWidth="1" min="3" max="3" width="29.5"/>
    <col customWidth="1" min="4" max="4" width="27.13"/>
    <col customWidth="1" min="5" max="5" width="80.13"/>
    <col customWidth="1" min="6" max="6" width="7.5"/>
    <col customWidth="1" min="7" max="7" width="7.0"/>
    <col customWidth="1" min="8" max="8" width="18.13"/>
    <col customWidth="1" min="10" max="10" width="9.75"/>
  </cols>
  <sheetData>
    <row r="1">
      <c r="A1" s="5" t="s">
        <v>10</v>
      </c>
      <c r="B1" s="5"/>
      <c r="C1" s="5"/>
      <c r="D1" s="5"/>
      <c r="E1" s="6"/>
      <c r="F1" s="5"/>
      <c r="G1" s="5"/>
      <c r="H1" s="8"/>
      <c r="I1" s="5"/>
      <c r="J1" s="5"/>
      <c r="K1" s="5"/>
      <c r="L1" s="5"/>
      <c r="M1" s="5"/>
      <c r="N1" s="5"/>
      <c r="O1" s="5"/>
      <c r="P1" s="5"/>
      <c r="Q1" s="5"/>
      <c r="R1" s="12"/>
      <c r="S1" s="12"/>
      <c r="T1" s="12"/>
      <c r="U1" s="12"/>
      <c r="V1" s="12"/>
      <c r="W1" s="12"/>
      <c r="X1" s="12"/>
      <c r="Y1" s="12"/>
      <c r="Z1" s="12"/>
    </row>
    <row r="2" ht="30.0" customHeight="1">
      <c r="A2" s="5" t="s">
        <v>30</v>
      </c>
      <c r="B2" s="5" t="s">
        <v>2</v>
      </c>
      <c r="C2" s="5" t="s">
        <v>3</v>
      </c>
      <c r="D2" s="5" t="s">
        <v>4</v>
      </c>
      <c r="E2" s="6" t="s">
        <v>5</v>
      </c>
      <c r="F2" s="5" t="s">
        <v>6</v>
      </c>
      <c r="G2" s="5" t="s">
        <v>7</v>
      </c>
      <c r="H2" s="8" t="s">
        <v>8</v>
      </c>
      <c r="I2" s="5" t="s">
        <v>9</v>
      </c>
      <c r="J2" s="5" t="s">
        <v>12</v>
      </c>
      <c r="K2" s="5" t="s">
        <v>13</v>
      </c>
      <c r="L2" s="5" t="s">
        <v>14</v>
      </c>
      <c r="M2" s="5" t="s">
        <v>15</v>
      </c>
      <c r="N2" s="5" t="s">
        <v>16</v>
      </c>
      <c r="O2" s="5" t="s">
        <v>17</v>
      </c>
      <c r="P2" s="5" t="s">
        <v>18</v>
      </c>
      <c r="Q2" s="5" t="s">
        <v>19</v>
      </c>
      <c r="R2" s="12"/>
      <c r="S2" s="12"/>
      <c r="T2" s="12"/>
      <c r="U2" s="12"/>
      <c r="V2" s="12"/>
      <c r="W2" s="12"/>
      <c r="X2" s="12"/>
      <c r="Y2" s="12"/>
      <c r="Z2" s="12"/>
    </row>
    <row r="3">
      <c r="A3" s="7" t="s">
        <v>20</v>
      </c>
      <c r="C3" s="9"/>
      <c r="D3" s="13" t="s">
        <v>50</v>
      </c>
      <c r="E3" s="7" t="s">
        <v>52</v>
      </c>
      <c r="G3" s="7">
        <v>190.0</v>
      </c>
      <c r="H3" s="21"/>
      <c r="J3" s="7">
        <v>16.0</v>
      </c>
      <c r="K3" s="7">
        <v>33.0</v>
      </c>
      <c r="L3" s="7">
        <v>40.5</v>
      </c>
      <c r="M3" s="7">
        <v>14.75</v>
      </c>
      <c r="N3" s="7">
        <v>14.25</v>
      </c>
      <c r="O3" s="7">
        <v>23.5</v>
      </c>
      <c r="P3" s="7">
        <v>24.0</v>
      </c>
      <c r="Q3" s="7">
        <v>49.0</v>
      </c>
    </row>
    <row r="4">
      <c r="A4" s="7" t="s">
        <v>25</v>
      </c>
      <c r="B4" s="12"/>
      <c r="C4" s="13" t="s">
        <v>61</v>
      </c>
      <c r="D4" s="23"/>
      <c r="E4" s="28" t="s">
        <v>69</v>
      </c>
      <c r="H4" s="27"/>
    </row>
    <row r="5">
      <c r="A5" s="7" t="s">
        <v>31</v>
      </c>
      <c r="B5" s="16"/>
      <c r="C5" s="13" t="s">
        <v>99</v>
      </c>
      <c r="D5" s="13" t="s">
        <v>102</v>
      </c>
      <c r="E5" s="30" t="s">
        <v>104</v>
      </c>
      <c r="H5" s="21"/>
    </row>
    <row r="6">
      <c r="A6" s="7" t="s">
        <v>37</v>
      </c>
      <c r="B6" s="16"/>
      <c r="C6" s="13" t="s">
        <v>106</v>
      </c>
      <c r="D6" s="31" t="s">
        <v>108</v>
      </c>
      <c r="E6" s="28" t="s">
        <v>113</v>
      </c>
      <c r="H6" s="21"/>
    </row>
    <row r="7">
      <c r="A7" s="7" t="s">
        <v>43</v>
      </c>
      <c r="B7" s="16"/>
      <c r="C7" s="13" t="s">
        <v>121</v>
      </c>
      <c r="D7" s="13" t="s">
        <v>122</v>
      </c>
      <c r="E7" s="33" t="s">
        <v>123</v>
      </c>
      <c r="F7" s="7"/>
      <c r="H7" s="27"/>
    </row>
    <row r="8">
      <c r="A8" s="7" t="s">
        <v>51</v>
      </c>
      <c r="C8" s="7"/>
      <c r="E8" s="30" t="s">
        <v>126</v>
      </c>
      <c r="F8" s="7"/>
      <c r="G8" s="7"/>
      <c r="H8" s="21"/>
    </row>
    <row r="9">
      <c r="A9" s="7" t="s">
        <v>57</v>
      </c>
      <c r="E9" s="10"/>
      <c r="F9" s="7"/>
      <c r="H9" s="27"/>
    </row>
    <row r="10">
      <c r="A10" s="5" t="s">
        <v>132</v>
      </c>
      <c r="B10" s="12"/>
      <c r="C10" s="12"/>
      <c r="D10" s="12"/>
      <c r="E10" s="6"/>
      <c r="F10" s="5" t="s">
        <v>6</v>
      </c>
      <c r="G10" s="5" t="s">
        <v>7</v>
      </c>
      <c r="H10" s="35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</row>
    <row r="11">
      <c r="A11" s="7" t="s">
        <v>20</v>
      </c>
      <c r="B11" s="5" t="s">
        <v>140</v>
      </c>
      <c r="C11" s="13" t="s">
        <v>141</v>
      </c>
      <c r="D11" s="13" t="s">
        <v>142</v>
      </c>
      <c r="E11" s="26" t="s">
        <v>144</v>
      </c>
      <c r="H11" s="27"/>
      <c r="R11" s="7">
        <v>3.0</v>
      </c>
    </row>
    <row r="12">
      <c r="A12" s="7" t="s">
        <v>25</v>
      </c>
      <c r="B12" s="16"/>
      <c r="C12" s="13" t="s">
        <v>99</v>
      </c>
      <c r="D12" s="9" t="s">
        <v>148</v>
      </c>
      <c r="E12" s="14" t="s">
        <v>150</v>
      </c>
      <c r="H12" s="27"/>
    </row>
    <row r="13">
      <c r="A13" s="7" t="s">
        <v>31</v>
      </c>
      <c r="B13" s="16"/>
      <c r="C13" s="13" t="s">
        <v>153</v>
      </c>
      <c r="D13" s="23"/>
      <c r="E13" s="37" t="s">
        <v>158</v>
      </c>
      <c r="H13" s="27"/>
    </row>
    <row r="14">
      <c r="A14" s="7" t="s">
        <v>37</v>
      </c>
      <c r="B14" s="5" t="s">
        <v>169</v>
      </c>
      <c r="C14" s="13" t="s">
        <v>171</v>
      </c>
      <c r="D14" s="23"/>
      <c r="E14" s="41" t="s">
        <v>173</v>
      </c>
      <c r="H14" s="27"/>
    </row>
    <row r="15">
      <c r="A15" s="7" t="s">
        <v>43</v>
      </c>
      <c r="B15" s="16"/>
      <c r="C15" s="13" t="s">
        <v>174</v>
      </c>
      <c r="D15" s="13" t="s">
        <v>175</v>
      </c>
      <c r="E15" s="14" t="s">
        <v>176</v>
      </c>
      <c r="F15" s="7">
        <v>2.0</v>
      </c>
      <c r="H15" s="27"/>
    </row>
    <row r="16">
      <c r="A16" s="7" t="s">
        <v>51</v>
      </c>
      <c r="C16" s="13" t="s">
        <v>177</v>
      </c>
      <c r="D16" s="23"/>
      <c r="E16" s="14"/>
      <c r="H16" s="27"/>
    </row>
    <row r="17">
      <c r="A17" s="7" t="s">
        <v>57</v>
      </c>
      <c r="C17" s="23"/>
      <c r="D17" s="13" t="s">
        <v>179</v>
      </c>
      <c r="E17" s="14"/>
      <c r="H17" s="27"/>
    </row>
    <row r="18">
      <c r="A18" s="5" t="s">
        <v>180</v>
      </c>
      <c r="B18" s="12"/>
      <c r="C18" s="12"/>
      <c r="D18" s="12"/>
      <c r="E18" s="6"/>
      <c r="F18" s="5" t="s">
        <v>6</v>
      </c>
      <c r="G18" s="5" t="s">
        <v>7</v>
      </c>
      <c r="H18" s="35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7" t="s">
        <v>20</v>
      </c>
      <c r="B19" s="16"/>
      <c r="C19" s="13" t="s">
        <v>141</v>
      </c>
      <c r="D19" s="9" t="s">
        <v>189</v>
      </c>
      <c r="E19" s="14" t="s">
        <v>193</v>
      </c>
      <c r="H19" s="21"/>
    </row>
    <row r="20">
      <c r="A20" s="7" t="s">
        <v>25</v>
      </c>
      <c r="B20" s="16"/>
      <c r="C20" s="13" t="s">
        <v>195</v>
      </c>
      <c r="D20" s="13" t="s">
        <v>196</v>
      </c>
      <c r="E20" s="14" t="s">
        <v>197</v>
      </c>
      <c r="H20" s="27"/>
    </row>
    <row r="21">
      <c r="A21" s="7" t="s">
        <v>31</v>
      </c>
      <c r="B21" s="16"/>
      <c r="C21" s="13" t="s">
        <v>183</v>
      </c>
      <c r="D21" s="23"/>
      <c r="E21" s="7" t="s">
        <v>200</v>
      </c>
      <c r="H21" s="21"/>
    </row>
    <row r="22">
      <c r="A22" s="7" t="s">
        <v>37</v>
      </c>
      <c r="B22" s="12"/>
      <c r="C22" s="5"/>
      <c r="D22" s="23"/>
      <c r="E22" s="46" t="s">
        <v>203</v>
      </c>
      <c r="H22" s="27"/>
    </row>
    <row r="23">
      <c r="A23" s="7" t="s">
        <v>43</v>
      </c>
      <c r="B23" s="16"/>
      <c r="C23" s="13" t="s">
        <v>205</v>
      </c>
      <c r="E23" s="14" t="s">
        <v>207</v>
      </c>
      <c r="H23" s="27"/>
    </row>
    <row r="24">
      <c r="A24" s="7" t="s">
        <v>51</v>
      </c>
      <c r="C24" s="13" t="s">
        <v>208</v>
      </c>
      <c r="D24" s="13" t="s">
        <v>210</v>
      </c>
      <c r="E24" s="14"/>
      <c r="H24" s="27"/>
    </row>
    <row r="25">
      <c r="A25" s="7" t="s">
        <v>57</v>
      </c>
      <c r="D25" s="13" t="s">
        <v>179</v>
      </c>
      <c r="E25" s="14"/>
      <c r="H25" s="27"/>
    </row>
    <row r="26">
      <c r="A26" s="5" t="s">
        <v>212</v>
      </c>
      <c r="B26" s="12"/>
      <c r="C26" s="12"/>
      <c r="D26" s="12"/>
      <c r="E26" s="6"/>
      <c r="F26" s="5" t="s">
        <v>6</v>
      </c>
      <c r="G26" s="5" t="s">
        <v>7</v>
      </c>
      <c r="H26" s="35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</row>
    <row r="27">
      <c r="A27" s="7" t="s">
        <v>20</v>
      </c>
      <c r="B27" s="12"/>
      <c r="C27" s="13" t="s">
        <v>141</v>
      </c>
      <c r="D27" s="7"/>
      <c r="E27" s="7" t="s">
        <v>217</v>
      </c>
      <c r="H27" s="27"/>
    </row>
    <row r="28">
      <c r="A28" s="7" t="s">
        <v>25</v>
      </c>
      <c r="C28" s="13" t="s">
        <v>195</v>
      </c>
      <c r="D28" s="13" t="s">
        <v>219</v>
      </c>
      <c r="E28" s="41" t="s">
        <v>220</v>
      </c>
      <c r="H28" s="21"/>
    </row>
    <row r="29">
      <c r="A29" s="7" t="s">
        <v>31</v>
      </c>
      <c r="C29" s="5"/>
      <c r="D29" s="7" t="s">
        <v>222</v>
      </c>
      <c r="H29" s="27"/>
    </row>
    <row r="30">
      <c r="A30" s="7" t="s">
        <v>37</v>
      </c>
      <c r="C30" s="5" t="s">
        <v>225</v>
      </c>
      <c r="D30" s="7" t="s">
        <v>226</v>
      </c>
      <c r="E30" s="41"/>
      <c r="H30" s="27"/>
    </row>
    <row r="31">
      <c r="A31" s="7" t="s">
        <v>43</v>
      </c>
      <c r="C31" s="13" t="s">
        <v>227</v>
      </c>
      <c r="H31" s="27"/>
    </row>
    <row r="32">
      <c r="A32" s="7" t="s">
        <v>51</v>
      </c>
      <c r="D32" s="13" t="s">
        <v>230</v>
      </c>
      <c r="H32" s="27"/>
    </row>
    <row r="33">
      <c r="A33" s="7" t="s">
        <v>57</v>
      </c>
      <c r="H33" s="27"/>
    </row>
    <row r="34">
      <c r="A34" s="5" t="s">
        <v>231</v>
      </c>
      <c r="B34" s="12"/>
      <c r="C34" s="12"/>
      <c r="D34" s="12"/>
      <c r="E34" s="6"/>
      <c r="F34" s="5" t="s">
        <v>6</v>
      </c>
      <c r="G34" s="5" t="s">
        <v>7</v>
      </c>
      <c r="H34" s="35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</row>
    <row r="35">
      <c r="A35" s="7" t="s">
        <v>20</v>
      </c>
      <c r="C35" s="13" t="s">
        <v>236</v>
      </c>
      <c r="D35" s="7" t="s">
        <v>237</v>
      </c>
      <c r="E35" s="14"/>
      <c r="H35" s="27"/>
    </row>
    <row r="36">
      <c r="A36" s="7" t="s">
        <v>25</v>
      </c>
      <c r="E36" s="14"/>
      <c r="H36" s="27"/>
    </row>
    <row r="37">
      <c r="A37" s="7" t="s">
        <v>31</v>
      </c>
      <c r="B37" s="16"/>
      <c r="C37" s="13" t="s">
        <v>141</v>
      </c>
      <c r="E37" s="14" t="s">
        <v>244</v>
      </c>
      <c r="G37" s="7">
        <v>195.0</v>
      </c>
      <c r="H37" s="27"/>
    </row>
    <row r="38">
      <c r="A38" s="7" t="s">
        <v>37</v>
      </c>
      <c r="B38" s="16"/>
      <c r="C38" s="13" t="s">
        <v>195</v>
      </c>
      <c r="E38" s="7" t="s">
        <v>247</v>
      </c>
      <c r="G38" s="7">
        <v>193.0</v>
      </c>
      <c r="H38" s="15"/>
    </row>
    <row r="39">
      <c r="A39" s="7" t="s">
        <v>43</v>
      </c>
      <c r="B39" s="16"/>
      <c r="C39" s="13" t="s">
        <v>76</v>
      </c>
      <c r="E39" s="37" t="s">
        <v>251</v>
      </c>
      <c r="G39" s="7">
        <v>191.1</v>
      </c>
      <c r="H39" s="15"/>
    </row>
    <row r="40">
      <c r="A40" s="7" t="s">
        <v>51</v>
      </c>
      <c r="E40" s="14"/>
      <c r="F40" s="7"/>
      <c r="G40" s="7">
        <v>191.3</v>
      </c>
      <c r="H40" s="15"/>
    </row>
    <row r="41">
      <c r="A41" s="7" t="s">
        <v>57</v>
      </c>
      <c r="E41" s="14"/>
      <c r="F41" s="7">
        <v>2.0</v>
      </c>
      <c r="G41" s="7"/>
      <c r="H41" s="35"/>
    </row>
    <row r="42">
      <c r="A42" s="5" t="s">
        <v>258</v>
      </c>
      <c r="B42" s="12"/>
      <c r="C42" s="12"/>
      <c r="D42" s="12"/>
      <c r="E42" s="6"/>
      <c r="F42" s="5" t="s">
        <v>6</v>
      </c>
      <c r="G42" s="5" t="s">
        <v>7</v>
      </c>
      <c r="H42" s="35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</row>
    <row r="43">
      <c r="A43" s="7" t="s">
        <v>20</v>
      </c>
      <c r="C43" s="7" t="s">
        <v>260</v>
      </c>
      <c r="D43" s="13" t="s">
        <v>261</v>
      </c>
      <c r="E43" s="26"/>
      <c r="G43" s="7">
        <v>194.0</v>
      </c>
      <c r="H43" s="15"/>
      <c r="L43" s="7"/>
      <c r="M43" s="7"/>
      <c r="N43" s="10"/>
    </row>
    <row r="44">
      <c r="A44" s="7" t="s">
        <v>25</v>
      </c>
      <c r="B44" s="12"/>
      <c r="C44" s="13" t="s">
        <v>141</v>
      </c>
      <c r="D44" s="9"/>
      <c r="E44" s="26" t="s">
        <v>263</v>
      </c>
      <c r="G44" s="7">
        <v>191.6</v>
      </c>
      <c r="H44" s="17"/>
    </row>
    <row r="45">
      <c r="A45" s="7" t="s">
        <v>31</v>
      </c>
      <c r="B45" s="16"/>
      <c r="C45" s="13" t="s">
        <v>264</v>
      </c>
      <c r="D45" s="9"/>
      <c r="E45" s="14" t="s">
        <v>265</v>
      </c>
      <c r="H45" s="15"/>
    </row>
    <row r="46">
      <c r="A46" s="7" t="s">
        <v>37</v>
      </c>
      <c r="B46" s="16"/>
      <c r="C46" s="13" t="s">
        <v>183</v>
      </c>
      <c r="D46" s="23"/>
      <c r="E46" s="7" t="s">
        <v>266</v>
      </c>
      <c r="G46" s="7">
        <v>188.6</v>
      </c>
      <c r="H46" s="21"/>
    </row>
    <row r="47">
      <c r="A47" s="7" t="s">
        <v>43</v>
      </c>
      <c r="B47" s="16"/>
      <c r="C47" s="13" t="s">
        <v>267</v>
      </c>
      <c r="D47" s="13" t="s">
        <v>268</v>
      </c>
      <c r="E47" s="14" t="s">
        <v>269</v>
      </c>
      <c r="G47" s="7">
        <v>190.0</v>
      </c>
      <c r="H47" s="27"/>
    </row>
    <row r="48">
      <c r="A48" s="7" t="s">
        <v>51</v>
      </c>
      <c r="C48" s="13" t="s">
        <v>270</v>
      </c>
      <c r="D48" s="23"/>
      <c r="E48" s="14"/>
      <c r="G48" s="7">
        <v>194.8</v>
      </c>
      <c r="H48" s="27"/>
    </row>
    <row r="49">
      <c r="A49" s="7" t="s">
        <v>57</v>
      </c>
      <c r="C49" s="9"/>
      <c r="D49" s="13" t="s">
        <v>179</v>
      </c>
      <c r="E49" s="14"/>
      <c r="H49" s="27"/>
    </row>
    <row r="50">
      <c r="A50" s="5" t="s">
        <v>272</v>
      </c>
      <c r="B50" s="12"/>
      <c r="C50" s="12"/>
      <c r="D50" s="12"/>
      <c r="E50" s="6"/>
      <c r="F50" s="12"/>
      <c r="G50" s="12"/>
      <c r="H50" s="35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</row>
    <row r="51">
      <c r="A51" s="7" t="s">
        <v>20</v>
      </c>
      <c r="B51" s="16"/>
      <c r="C51" s="49" t="s">
        <v>141</v>
      </c>
      <c r="D51" s="50" t="s">
        <v>179</v>
      </c>
      <c r="E51" s="14" t="s">
        <v>275</v>
      </c>
      <c r="H51" s="21"/>
      <c r="L51" s="7"/>
      <c r="M51" s="7"/>
      <c r="N51" s="14"/>
      <c r="Q51" s="7"/>
    </row>
    <row r="52">
      <c r="A52" s="7" t="s">
        <v>25</v>
      </c>
      <c r="B52" s="16"/>
      <c r="C52" s="13" t="s">
        <v>276</v>
      </c>
      <c r="D52" s="13" t="s">
        <v>277</v>
      </c>
      <c r="E52" s="7" t="s">
        <v>278</v>
      </c>
      <c r="G52" s="7">
        <v>189.1</v>
      </c>
      <c r="H52" s="27"/>
      <c r="L52" s="7"/>
      <c r="M52" s="7"/>
      <c r="N52" s="14"/>
    </row>
    <row r="53">
      <c r="A53" s="7" t="s">
        <v>31</v>
      </c>
      <c r="B53" s="16"/>
      <c r="C53" s="13" t="s">
        <v>99</v>
      </c>
      <c r="D53" s="9" t="s">
        <v>94</v>
      </c>
      <c r="E53" s="7" t="s">
        <v>280</v>
      </c>
      <c r="H53" s="21"/>
      <c r="L53" s="7"/>
      <c r="M53" s="7"/>
      <c r="N53" s="26"/>
      <c r="Q53" s="7"/>
    </row>
    <row r="54">
      <c r="A54" s="7" t="s">
        <v>37</v>
      </c>
      <c r="B54" s="51"/>
      <c r="C54" s="13" t="s">
        <v>110</v>
      </c>
      <c r="D54" s="9"/>
      <c r="E54" s="14" t="s">
        <v>283</v>
      </c>
      <c r="H54" s="21"/>
      <c r="L54" s="7"/>
      <c r="M54" s="7"/>
      <c r="N54" s="14"/>
      <c r="Q54" s="7"/>
    </row>
    <row r="55">
      <c r="A55" s="7" t="s">
        <v>43</v>
      </c>
      <c r="B55" s="16"/>
      <c r="C55" s="13" t="s">
        <v>284</v>
      </c>
      <c r="D55" s="13" t="s">
        <v>179</v>
      </c>
      <c r="E55" s="7" t="s">
        <v>286</v>
      </c>
      <c r="G55" s="7">
        <v>191.1</v>
      </c>
      <c r="H55" s="21"/>
      <c r="L55" s="7"/>
      <c r="M55" s="7"/>
      <c r="N55" s="14"/>
      <c r="Q55" s="7"/>
    </row>
    <row r="56">
      <c r="A56" s="7" t="s">
        <v>51</v>
      </c>
      <c r="C56" s="13" t="s">
        <v>287</v>
      </c>
      <c r="D56" s="9"/>
      <c r="E56" s="14"/>
      <c r="H56" s="21"/>
      <c r="L56" s="7"/>
      <c r="M56" s="7"/>
      <c r="N56" s="14"/>
      <c r="Q56" s="7"/>
    </row>
    <row r="57">
      <c r="A57" s="7" t="s">
        <v>57</v>
      </c>
      <c r="C57" s="13" t="s">
        <v>288</v>
      </c>
      <c r="D57" s="13" t="s">
        <v>179</v>
      </c>
      <c r="E57" s="14"/>
      <c r="F57" s="7"/>
      <c r="G57" s="7"/>
      <c r="H57" s="27"/>
      <c r="K57" s="7"/>
      <c r="L57" s="7"/>
      <c r="M57" s="7"/>
      <c r="N57" s="14"/>
      <c r="O57" s="7"/>
      <c r="P57" s="7"/>
      <c r="T57" s="4"/>
      <c r="U57" s="4"/>
      <c r="V57" s="4"/>
      <c r="W57" s="4"/>
      <c r="X57" s="4"/>
      <c r="Y57" s="4"/>
      <c r="Z57" s="4"/>
    </row>
    <row r="58">
      <c r="A58" s="5" t="s">
        <v>289</v>
      </c>
      <c r="B58" s="12"/>
      <c r="C58" s="12"/>
      <c r="D58" s="12"/>
      <c r="E58" s="12"/>
      <c r="F58" s="12"/>
      <c r="G58" s="12"/>
      <c r="H58" s="8"/>
      <c r="I58" s="12"/>
      <c r="J58" s="12"/>
      <c r="K58" s="12"/>
      <c r="L58" s="5"/>
      <c r="M58" s="5"/>
      <c r="N58" s="6"/>
      <c r="O58" s="12"/>
      <c r="P58" s="12"/>
      <c r="Q58" s="5"/>
      <c r="R58" s="12"/>
      <c r="S58" s="12"/>
      <c r="T58" s="12"/>
      <c r="U58" s="12"/>
      <c r="V58" s="12"/>
      <c r="W58" s="12"/>
      <c r="X58" s="12"/>
      <c r="Y58" s="12"/>
      <c r="Z58" s="12"/>
    </row>
    <row r="59">
      <c r="A59" s="52">
        <v>46321.0</v>
      </c>
      <c r="B59" s="16"/>
      <c r="C59" s="49" t="s">
        <v>141</v>
      </c>
      <c r="D59" s="13" t="s">
        <v>179</v>
      </c>
      <c r="E59" s="7" t="s">
        <v>290</v>
      </c>
      <c r="H59" s="27"/>
      <c r="L59" s="7"/>
      <c r="M59" s="7"/>
      <c r="N59" s="14"/>
    </row>
    <row r="60">
      <c r="A60" s="52">
        <v>46322.0</v>
      </c>
      <c r="B60" s="12"/>
      <c r="C60" s="13" t="s">
        <v>291</v>
      </c>
      <c r="D60" s="13" t="s">
        <v>292</v>
      </c>
      <c r="H60" s="21"/>
      <c r="L60" s="7"/>
      <c r="M60" s="7"/>
      <c r="N60" s="14"/>
      <c r="Q60" s="7"/>
    </row>
    <row r="61">
      <c r="A61" s="52">
        <v>46323.0</v>
      </c>
      <c r="B61" s="5"/>
      <c r="C61" s="13" t="s">
        <v>99</v>
      </c>
      <c r="D61" s="9" t="s">
        <v>94</v>
      </c>
      <c r="E61" s="7" t="s">
        <v>294</v>
      </c>
      <c r="H61" s="27"/>
      <c r="L61" s="7"/>
      <c r="M61" s="7"/>
      <c r="N61" s="14"/>
    </row>
    <row r="62">
      <c r="A62" s="52">
        <v>46324.0</v>
      </c>
      <c r="B62" s="13"/>
      <c r="C62" s="13" t="s">
        <v>295</v>
      </c>
      <c r="D62" s="13" t="s">
        <v>296</v>
      </c>
      <c r="E62" s="7" t="s">
        <v>297</v>
      </c>
      <c r="H62" s="27"/>
      <c r="L62" s="7"/>
      <c r="M62" s="7"/>
      <c r="N62" s="14"/>
    </row>
    <row r="63">
      <c r="A63" s="52">
        <v>46325.0</v>
      </c>
      <c r="B63" s="7"/>
      <c r="C63" s="7" t="s">
        <v>121</v>
      </c>
      <c r="D63" s="7" t="s">
        <v>298</v>
      </c>
      <c r="E63" s="7" t="s">
        <v>299</v>
      </c>
      <c r="H63" s="27"/>
      <c r="L63" s="7"/>
      <c r="M63" s="7"/>
      <c r="N63" s="14"/>
    </row>
    <row r="64">
      <c r="A64" s="52">
        <v>46326.0</v>
      </c>
      <c r="B64" s="7"/>
      <c r="C64" s="7" t="s">
        <v>300</v>
      </c>
      <c r="D64" s="7" t="s">
        <v>94</v>
      </c>
      <c r="E64" s="14" t="s">
        <v>301</v>
      </c>
      <c r="H64" s="27"/>
      <c r="L64" s="7"/>
      <c r="M64" s="7"/>
      <c r="N64" s="14"/>
    </row>
    <row r="65">
      <c r="A65" s="52">
        <v>46327.0</v>
      </c>
      <c r="B65" s="7"/>
      <c r="C65" s="7" t="s">
        <v>94</v>
      </c>
      <c r="D65" s="7" t="s">
        <v>179</v>
      </c>
      <c r="E65" s="14"/>
      <c r="F65" s="7"/>
      <c r="G65" s="7"/>
      <c r="H65" s="27"/>
      <c r="K65" s="7"/>
      <c r="L65" s="7"/>
      <c r="M65" s="7"/>
      <c r="N65" s="14"/>
      <c r="O65" s="7"/>
      <c r="P65" s="7"/>
      <c r="T65" s="4"/>
      <c r="U65" s="4"/>
      <c r="V65" s="4"/>
      <c r="W65" s="4"/>
      <c r="X65" s="4"/>
      <c r="Y65" s="4"/>
      <c r="Z65" s="4"/>
    </row>
    <row r="66">
      <c r="A66" s="5" t="s">
        <v>303</v>
      </c>
      <c r="B66" s="5"/>
      <c r="C66" s="5"/>
      <c r="D66" s="5"/>
      <c r="E66" s="6"/>
      <c r="F66" s="12"/>
      <c r="G66" s="12"/>
      <c r="H66" s="35"/>
      <c r="I66" s="12"/>
      <c r="J66" s="12"/>
      <c r="K66" s="12"/>
      <c r="L66" s="5"/>
      <c r="M66" s="5"/>
      <c r="N66" s="6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</row>
    <row r="67">
      <c r="A67" s="7" t="s">
        <v>20</v>
      </c>
      <c r="B67" s="7"/>
      <c r="C67" s="7"/>
      <c r="D67" s="7"/>
      <c r="E67" s="14"/>
      <c r="H67" s="21"/>
      <c r="L67" s="7"/>
      <c r="M67" s="7"/>
      <c r="N67" s="14"/>
      <c r="Q67" s="7"/>
    </row>
    <row r="68">
      <c r="A68" s="7" t="s">
        <v>25</v>
      </c>
      <c r="B68" s="7"/>
      <c r="C68" s="7"/>
      <c r="D68" s="7"/>
      <c r="E68" s="14"/>
      <c r="H68" s="27"/>
      <c r="L68" s="7"/>
      <c r="M68" s="7"/>
      <c r="N68" s="14"/>
    </row>
    <row r="69">
      <c r="A69" s="7" t="s">
        <v>31</v>
      </c>
      <c r="B69" s="7"/>
      <c r="C69" s="7"/>
      <c r="D69" s="7"/>
      <c r="E69" s="14"/>
      <c r="H69" s="27"/>
      <c r="L69" s="7"/>
      <c r="M69" s="7"/>
      <c r="N69" s="14"/>
    </row>
    <row r="70">
      <c r="A70" s="7" t="s">
        <v>37</v>
      </c>
      <c r="B70" s="7"/>
      <c r="C70" s="7"/>
      <c r="D70" s="7"/>
      <c r="E70" s="14"/>
      <c r="H70" s="27"/>
      <c r="L70" s="7"/>
      <c r="M70" s="7"/>
      <c r="N70" s="14"/>
    </row>
    <row r="71">
      <c r="A71" s="7" t="s">
        <v>43</v>
      </c>
      <c r="B71" s="7"/>
      <c r="C71" s="7"/>
      <c r="D71" s="7"/>
      <c r="E71" s="10"/>
      <c r="H71" s="27"/>
      <c r="L71" s="7"/>
      <c r="M71" s="7"/>
      <c r="N71" s="10"/>
    </row>
    <row r="72">
      <c r="A72" s="7" t="s">
        <v>51</v>
      </c>
      <c r="B72" s="7"/>
      <c r="C72" s="7"/>
      <c r="D72" s="7"/>
      <c r="E72" s="10"/>
      <c r="H72" s="27"/>
      <c r="L72" s="7"/>
      <c r="M72" s="7"/>
      <c r="N72" s="10"/>
    </row>
    <row r="73">
      <c r="A73" s="7" t="s">
        <v>57</v>
      </c>
      <c r="B73" s="7"/>
      <c r="C73" s="7"/>
      <c r="D73" s="7"/>
      <c r="E73" s="14"/>
      <c r="F73" s="7"/>
      <c r="G73" s="7"/>
      <c r="H73" s="27"/>
      <c r="I73" s="7"/>
      <c r="K73" s="7"/>
      <c r="L73" s="7"/>
      <c r="M73" s="7"/>
      <c r="N73" s="14"/>
      <c r="O73" s="7"/>
      <c r="P73" s="7"/>
      <c r="R73" s="7"/>
      <c r="T73" s="4"/>
      <c r="U73" s="4"/>
      <c r="V73" s="4"/>
      <c r="W73" s="4"/>
      <c r="X73" s="4"/>
      <c r="Y73" s="4"/>
      <c r="Z73" s="4"/>
    </row>
    <row r="74">
      <c r="A74" s="5" t="s">
        <v>305</v>
      </c>
      <c r="B74" s="5"/>
      <c r="C74" s="5"/>
      <c r="D74" s="5"/>
      <c r="E74" s="6"/>
      <c r="F74" s="12"/>
      <c r="G74" s="12"/>
      <c r="H74" s="35"/>
      <c r="I74" s="12"/>
      <c r="J74" s="12"/>
      <c r="K74" s="12"/>
      <c r="L74" s="5"/>
      <c r="M74" s="5"/>
      <c r="N74" s="6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</row>
    <row r="75">
      <c r="A75" s="7" t="s">
        <v>20</v>
      </c>
      <c r="B75" s="7"/>
      <c r="C75" s="7"/>
      <c r="D75" s="7"/>
      <c r="E75" s="10"/>
      <c r="H75" s="27"/>
      <c r="L75" s="7"/>
      <c r="M75" s="7"/>
      <c r="N75" s="10"/>
    </row>
    <row r="76">
      <c r="A76" s="7" t="s">
        <v>25</v>
      </c>
      <c r="B76" s="7"/>
      <c r="C76" s="7"/>
      <c r="E76" s="10"/>
      <c r="H76" s="27"/>
      <c r="L76" s="7"/>
      <c r="N76" s="10"/>
    </row>
    <row r="77">
      <c r="A77" s="7" t="s">
        <v>31</v>
      </c>
      <c r="B77" s="7"/>
      <c r="C77" s="7"/>
      <c r="D77" s="7"/>
      <c r="E77" s="14"/>
      <c r="H77" s="27"/>
      <c r="L77" s="7"/>
      <c r="M77" s="7"/>
      <c r="N77" s="14"/>
    </row>
    <row r="78">
      <c r="A78" s="7" t="s">
        <v>37</v>
      </c>
      <c r="B78" s="7"/>
      <c r="C78" s="7"/>
      <c r="D78" s="7"/>
      <c r="E78" s="10"/>
      <c r="H78" s="27"/>
      <c r="L78" s="7"/>
      <c r="M78" s="7"/>
      <c r="N78" s="10"/>
    </row>
    <row r="79">
      <c r="A79" s="7" t="s">
        <v>43</v>
      </c>
      <c r="B79" s="7"/>
      <c r="C79" s="7"/>
      <c r="D79" s="7"/>
      <c r="E79" s="10"/>
      <c r="H79" s="27"/>
      <c r="L79" s="7"/>
      <c r="M79" s="7"/>
      <c r="N79" s="10"/>
    </row>
    <row r="80">
      <c r="A80" s="7" t="s">
        <v>51</v>
      </c>
      <c r="B80" s="7"/>
      <c r="C80" s="7"/>
      <c r="D80" s="7"/>
      <c r="E80" s="10"/>
      <c r="H80" s="27"/>
      <c r="L80" s="7"/>
      <c r="M80" s="7"/>
      <c r="N80" s="10"/>
    </row>
    <row r="81">
      <c r="A81" s="7" t="s">
        <v>57</v>
      </c>
      <c r="E81" s="10"/>
      <c r="H81" s="27"/>
    </row>
    <row r="82">
      <c r="A82" s="5" t="s">
        <v>309</v>
      </c>
      <c r="B82" s="12"/>
      <c r="C82" s="12"/>
      <c r="D82" s="12"/>
      <c r="E82" s="55"/>
      <c r="F82" s="12"/>
      <c r="G82" s="12"/>
      <c r="H82" s="35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</row>
    <row r="83">
      <c r="A83" s="7" t="s">
        <v>20</v>
      </c>
      <c r="E83" s="10"/>
      <c r="H83" s="27"/>
    </row>
    <row r="84">
      <c r="A84" s="7" t="s">
        <v>25</v>
      </c>
      <c r="E84" s="10"/>
      <c r="H84" s="27"/>
    </row>
    <row r="85">
      <c r="A85" s="7" t="s">
        <v>31</v>
      </c>
      <c r="E85" s="10"/>
      <c r="H85" s="27"/>
    </row>
    <row r="86">
      <c r="A86" s="7" t="s">
        <v>37</v>
      </c>
      <c r="E86" s="10"/>
      <c r="H86" s="27"/>
    </row>
    <row r="87">
      <c r="A87" s="7" t="s">
        <v>43</v>
      </c>
      <c r="E87" s="10"/>
      <c r="H87" s="27"/>
    </row>
    <row r="88">
      <c r="A88" s="7" t="s">
        <v>51</v>
      </c>
      <c r="E88" s="10"/>
      <c r="H88" s="27"/>
    </row>
    <row r="89">
      <c r="A89" s="7" t="s">
        <v>57</v>
      </c>
      <c r="E89" s="10"/>
      <c r="H89" s="27"/>
    </row>
    <row r="90">
      <c r="A90" s="5" t="s">
        <v>310</v>
      </c>
      <c r="B90" s="12"/>
      <c r="C90" s="12"/>
      <c r="D90" s="12"/>
      <c r="E90" s="55"/>
      <c r="F90" s="12"/>
      <c r="G90" s="12"/>
      <c r="H90" s="35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  <c r="W90" s="12"/>
      <c r="X90" s="12"/>
      <c r="Y90" s="12"/>
      <c r="Z90" s="12"/>
    </row>
    <row r="91">
      <c r="A91" s="7" t="s">
        <v>20</v>
      </c>
      <c r="E91" s="10"/>
      <c r="H91" s="27"/>
    </row>
    <row r="92">
      <c r="A92" s="7" t="s">
        <v>25</v>
      </c>
      <c r="E92" s="10"/>
      <c r="H92" s="27"/>
    </row>
    <row r="93">
      <c r="A93" s="7" t="s">
        <v>31</v>
      </c>
      <c r="E93" s="10"/>
      <c r="H93" s="27"/>
    </row>
    <row r="94">
      <c r="A94" s="7" t="s">
        <v>37</v>
      </c>
      <c r="E94" s="10"/>
      <c r="H94" s="27"/>
    </row>
    <row r="95">
      <c r="A95" s="7" t="s">
        <v>43</v>
      </c>
      <c r="E95" s="10"/>
      <c r="H95" s="27"/>
    </row>
    <row r="96">
      <c r="A96" s="7" t="s">
        <v>51</v>
      </c>
      <c r="E96" s="10"/>
      <c r="H96" s="27"/>
    </row>
    <row r="97">
      <c r="A97" s="7" t="s">
        <v>57</v>
      </c>
      <c r="E97" s="10"/>
      <c r="H97" s="27"/>
    </row>
    <row r="98">
      <c r="A98" s="5" t="s">
        <v>311</v>
      </c>
      <c r="B98" s="12"/>
      <c r="C98" s="12"/>
      <c r="D98" s="12"/>
      <c r="E98" s="55"/>
      <c r="F98" s="12"/>
      <c r="G98" s="12"/>
      <c r="H98" s="35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</row>
    <row r="99">
      <c r="A99" s="7" t="s">
        <v>20</v>
      </c>
      <c r="E99" s="10"/>
      <c r="H99" s="27"/>
    </row>
    <row r="100">
      <c r="A100" s="7" t="s">
        <v>25</v>
      </c>
      <c r="E100" s="10"/>
      <c r="H100" s="27"/>
    </row>
    <row r="101">
      <c r="A101" s="7" t="s">
        <v>31</v>
      </c>
      <c r="E101" s="10"/>
      <c r="H101" s="27"/>
    </row>
    <row r="102">
      <c r="A102" s="7" t="s">
        <v>37</v>
      </c>
      <c r="E102" s="10"/>
      <c r="H102" s="27"/>
    </row>
    <row r="103">
      <c r="A103" s="7" t="s">
        <v>43</v>
      </c>
      <c r="E103" s="10"/>
      <c r="H103" s="27"/>
    </row>
    <row r="104">
      <c r="A104" s="7" t="s">
        <v>51</v>
      </c>
      <c r="E104" s="10"/>
      <c r="H104" s="27"/>
    </row>
    <row r="105">
      <c r="A105" s="7" t="s">
        <v>57</v>
      </c>
      <c r="E105" s="10"/>
      <c r="H105" s="27"/>
    </row>
    <row r="106">
      <c r="A106" s="5" t="s">
        <v>312</v>
      </c>
      <c r="B106" s="12"/>
      <c r="C106" s="5" t="s">
        <v>313</v>
      </c>
      <c r="D106" s="12"/>
      <c r="E106" s="55"/>
      <c r="F106" s="12"/>
      <c r="G106" s="12"/>
      <c r="H106" s="35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</row>
    <row r="107">
      <c r="E107" s="10"/>
      <c r="H107" s="27"/>
    </row>
    <row r="108">
      <c r="E108" s="10"/>
      <c r="H108" s="27"/>
    </row>
    <row r="109">
      <c r="E109" s="10"/>
      <c r="H109" s="27"/>
    </row>
    <row r="110">
      <c r="E110" s="10"/>
      <c r="H110" s="27"/>
    </row>
    <row r="111">
      <c r="E111" s="10"/>
      <c r="H111" s="27"/>
    </row>
    <row r="112">
      <c r="E112" s="10"/>
      <c r="H112" s="27"/>
    </row>
    <row r="113">
      <c r="E113" s="10"/>
      <c r="H113" s="27"/>
    </row>
    <row r="114">
      <c r="E114" s="10"/>
      <c r="H114" s="27"/>
    </row>
    <row r="115">
      <c r="E115" s="10"/>
      <c r="H115" s="27"/>
    </row>
    <row r="116">
      <c r="E116" s="10"/>
      <c r="H116" s="27"/>
    </row>
    <row r="117">
      <c r="E117" s="10"/>
      <c r="H117" s="27"/>
    </row>
    <row r="118">
      <c r="E118" s="10"/>
      <c r="H118" s="27"/>
    </row>
    <row r="119">
      <c r="E119" s="10"/>
      <c r="H119" s="27"/>
    </row>
    <row r="120">
      <c r="E120" s="10"/>
      <c r="H120" s="27"/>
    </row>
    <row r="121">
      <c r="E121" s="10"/>
      <c r="H121" s="27"/>
    </row>
    <row r="122">
      <c r="E122" s="10"/>
      <c r="H122" s="27"/>
    </row>
    <row r="123">
      <c r="E123" s="10"/>
      <c r="H123" s="27"/>
    </row>
    <row r="124">
      <c r="E124" s="10"/>
      <c r="H124" s="27"/>
    </row>
    <row r="125">
      <c r="E125" s="10"/>
      <c r="H125" s="27"/>
    </row>
    <row r="126">
      <c r="E126" s="10"/>
      <c r="H126" s="27"/>
    </row>
    <row r="127">
      <c r="E127" s="10"/>
      <c r="H127" s="27"/>
    </row>
    <row r="128">
      <c r="E128" s="10"/>
      <c r="H128" s="27"/>
    </row>
    <row r="129">
      <c r="E129" s="10"/>
      <c r="H129" s="27"/>
    </row>
    <row r="130">
      <c r="E130" s="10"/>
      <c r="H130" s="27"/>
    </row>
    <row r="131">
      <c r="E131" s="10"/>
      <c r="H131" s="27"/>
    </row>
    <row r="132">
      <c r="E132" s="10"/>
      <c r="H132" s="27"/>
    </row>
    <row r="133">
      <c r="E133" s="10"/>
      <c r="H133" s="27"/>
    </row>
    <row r="134">
      <c r="E134" s="10"/>
      <c r="H134" s="27"/>
    </row>
    <row r="135">
      <c r="E135" s="10"/>
      <c r="H135" s="27"/>
    </row>
    <row r="136">
      <c r="E136" s="10"/>
      <c r="H136" s="27"/>
    </row>
    <row r="137">
      <c r="E137" s="10"/>
      <c r="H137" s="27"/>
    </row>
    <row r="138">
      <c r="E138" s="10"/>
      <c r="H138" s="27"/>
    </row>
    <row r="139">
      <c r="E139" s="10"/>
      <c r="H139" s="27"/>
    </row>
    <row r="140">
      <c r="E140" s="10"/>
      <c r="H140" s="27"/>
    </row>
    <row r="141">
      <c r="E141" s="10"/>
      <c r="H141" s="27"/>
    </row>
    <row r="142">
      <c r="E142" s="10"/>
      <c r="H142" s="27"/>
    </row>
    <row r="143">
      <c r="E143" s="10"/>
      <c r="H143" s="27"/>
    </row>
    <row r="144">
      <c r="E144" s="10"/>
      <c r="H144" s="27"/>
    </row>
    <row r="145">
      <c r="E145" s="10"/>
      <c r="H145" s="27"/>
    </row>
    <row r="146">
      <c r="E146" s="10"/>
      <c r="H146" s="27"/>
    </row>
    <row r="147">
      <c r="E147" s="10"/>
      <c r="H147" s="27"/>
    </row>
    <row r="148">
      <c r="E148" s="10"/>
      <c r="H148" s="27"/>
    </row>
    <row r="149">
      <c r="E149" s="10"/>
      <c r="H149" s="27"/>
    </row>
    <row r="150">
      <c r="E150" s="10"/>
      <c r="H150" s="27"/>
    </row>
    <row r="151">
      <c r="E151" s="10"/>
      <c r="H151" s="27"/>
    </row>
    <row r="152">
      <c r="E152" s="10"/>
      <c r="H152" s="27"/>
    </row>
    <row r="153">
      <c r="E153" s="10"/>
      <c r="H153" s="27"/>
    </row>
    <row r="154">
      <c r="E154" s="10"/>
      <c r="H154" s="27"/>
    </row>
    <row r="155">
      <c r="E155" s="10"/>
      <c r="H155" s="27"/>
    </row>
    <row r="156">
      <c r="E156" s="10"/>
      <c r="H156" s="27"/>
    </row>
    <row r="157">
      <c r="E157" s="10"/>
      <c r="H157" s="27"/>
    </row>
    <row r="158">
      <c r="E158" s="10"/>
      <c r="H158" s="27"/>
    </row>
    <row r="159">
      <c r="E159" s="10"/>
      <c r="H159" s="27"/>
    </row>
    <row r="160">
      <c r="E160" s="10"/>
      <c r="H160" s="27"/>
    </row>
    <row r="161">
      <c r="E161" s="10"/>
      <c r="H161" s="27"/>
    </row>
    <row r="162">
      <c r="E162" s="10"/>
      <c r="H162" s="27"/>
    </row>
    <row r="163">
      <c r="E163" s="10"/>
      <c r="H163" s="27"/>
    </row>
    <row r="164">
      <c r="E164" s="10"/>
      <c r="H164" s="27"/>
    </row>
    <row r="165">
      <c r="E165" s="10"/>
      <c r="H165" s="27"/>
    </row>
    <row r="166">
      <c r="E166" s="10"/>
      <c r="H166" s="27"/>
    </row>
    <row r="167">
      <c r="E167" s="10"/>
      <c r="H167" s="27"/>
    </row>
    <row r="168">
      <c r="E168" s="10"/>
      <c r="H168" s="27"/>
    </row>
    <row r="169">
      <c r="E169" s="10"/>
      <c r="H169" s="27"/>
    </row>
    <row r="170">
      <c r="E170" s="10"/>
      <c r="H170" s="27"/>
    </row>
    <row r="171">
      <c r="E171" s="10"/>
      <c r="H171" s="27"/>
    </row>
    <row r="172">
      <c r="E172" s="10"/>
      <c r="H172" s="27"/>
    </row>
    <row r="173">
      <c r="E173" s="10"/>
      <c r="H173" s="27"/>
    </row>
    <row r="174">
      <c r="E174" s="10"/>
      <c r="H174" s="27"/>
    </row>
    <row r="175">
      <c r="E175" s="10"/>
      <c r="H175" s="27"/>
    </row>
    <row r="176">
      <c r="E176" s="10"/>
      <c r="H176" s="27"/>
    </row>
    <row r="177">
      <c r="E177" s="10"/>
      <c r="H177" s="27"/>
    </row>
    <row r="178">
      <c r="E178" s="10"/>
      <c r="H178" s="27"/>
    </row>
    <row r="179">
      <c r="E179" s="10"/>
      <c r="H179" s="27"/>
    </row>
    <row r="180">
      <c r="E180" s="10"/>
      <c r="H180" s="27"/>
    </row>
    <row r="181">
      <c r="E181" s="10"/>
      <c r="H181" s="27"/>
    </row>
    <row r="182">
      <c r="E182" s="10"/>
      <c r="H182" s="27"/>
    </row>
    <row r="183">
      <c r="E183" s="10"/>
      <c r="H183" s="27"/>
    </row>
    <row r="184">
      <c r="E184" s="10"/>
      <c r="H184" s="27"/>
    </row>
    <row r="185">
      <c r="E185" s="10"/>
      <c r="H185" s="27"/>
    </row>
    <row r="186">
      <c r="E186" s="10"/>
      <c r="H186" s="27"/>
    </row>
    <row r="187">
      <c r="E187" s="10"/>
      <c r="H187" s="27"/>
    </row>
    <row r="188">
      <c r="E188" s="10"/>
      <c r="H188" s="27"/>
    </row>
    <row r="189">
      <c r="E189" s="10"/>
      <c r="H189" s="27"/>
    </row>
    <row r="190">
      <c r="E190" s="10"/>
      <c r="H190" s="27"/>
    </row>
    <row r="191">
      <c r="E191" s="10"/>
      <c r="H191" s="27"/>
    </row>
    <row r="192">
      <c r="E192" s="10"/>
      <c r="H192" s="27"/>
    </row>
    <row r="193">
      <c r="E193" s="10"/>
      <c r="H193" s="27"/>
    </row>
    <row r="194">
      <c r="E194" s="10"/>
      <c r="H194" s="27"/>
    </row>
    <row r="195">
      <c r="E195" s="10"/>
      <c r="H195" s="27"/>
    </row>
    <row r="196">
      <c r="E196" s="10"/>
      <c r="H196" s="27"/>
    </row>
    <row r="197">
      <c r="E197" s="10"/>
      <c r="H197" s="27"/>
    </row>
    <row r="198">
      <c r="E198" s="10"/>
      <c r="H198" s="27"/>
    </row>
    <row r="199">
      <c r="E199" s="10"/>
      <c r="H199" s="27"/>
    </row>
    <row r="200">
      <c r="E200" s="10"/>
      <c r="H200" s="27"/>
    </row>
    <row r="201">
      <c r="E201" s="10"/>
      <c r="H201" s="27"/>
    </row>
    <row r="202">
      <c r="E202" s="10"/>
      <c r="H202" s="27"/>
    </row>
    <row r="203">
      <c r="E203" s="10"/>
      <c r="H203" s="27"/>
    </row>
    <row r="204">
      <c r="E204" s="10"/>
      <c r="H204" s="27"/>
    </row>
    <row r="205">
      <c r="E205" s="10"/>
      <c r="H205" s="27"/>
    </row>
    <row r="206">
      <c r="E206" s="10"/>
      <c r="H206" s="27"/>
    </row>
    <row r="207">
      <c r="E207" s="10"/>
      <c r="H207" s="27"/>
    </row>
    <row r="208">
      <c r="E208" s="10"/>
      <c r="H208" s="27"/>
    </row>
    <row r="209">
      <c r="E209" s="10"/>
      <c r="H209" s="27"/>
    </row>
    <row r="210">
      <c r="E210" s="10"/>
      <c r="H210" s="27"/>
    </row>
    <row r="211">
      <c r="E211" s="10"/>
      <c r="H211" s="27"/>
    </row>
    <row r="212">
      <c r="E212" s="10"/>
      <c r="H212" s="27"/>
    </row>
    <row r="213">
      <c r="E213" s="10"/>
      <c r="H213" s="27"/>
    </row>
    <row r="214">
      <c r="E214" s="10"/>
      <c r="H214" s="27"/>
    </row>
    <row r="215">
      <c r="E215" s="10"/>
      <c r="H215" s="27"/>
    </row>
    <row r="216">
      <c r="E216" s="10"/>
      <c r="H216" s="27"/>
    </row>
    <row r="217">
      <c r="E217" s="10"/>
      <c r="H217" s="27"/>
    </row>
    <row r="218">
      <c r="E218" s="10"/>
      <c r="H218" s="27"/>
    </row>
    <row r="219">
      <c r="E219" s="10"/>
      <c r="H219" s="27"/>
    </row>
    <row r="220">
      <c r="E220" s="10"/>
      <c r="H220" s="27"/>
    </row>
    <row r="221">
      <c r="E221" s="10"/>
      <c r="H221" s="27"/>
    </row>
    <row r="222">
      <c r="E222" s="10"/>
      <c r="H222" s="27"/>
    </row>
    <row r="223">
      <c r="E223" s="10"/>
      <c r="H223" s="27"/>
    </row>
    <row r="224">
      <c r="E224" s="10"/>
      <c r="H224" s="27"/>
    </row>
    <row r="225">
      <c r="E225" s="10"/>
      <c r="H225" s="27"/>
    </row>
    <row r="226">
      <c r="E226" s="10"/>
      <c r="H226" s="27"/>
    </row>
    <row r="227">
      <c r="E227" s="10"/>
      <c r="H227" s="27"/>
    </row>
    <row r="228">
      <c r="E228" s="10"/>
      <c r="H228" s="27"/>
    </row>
    <row r="229">
      <c r="E229" s="10"/>
      <c r="H229" s="27"/>
    </row>
    <row r="230">
      <c r="E230" s="10"/>
      <c r="H230" s="27"/>
    </row>
    <row r="231">
      <c r="E231" s="10"/>
      <c r="H231" s="27"/>
    </row>
    <row r="232">
      <c r="E232" s="10"/>
      <c r="H232" s="27"/>
    </row>
    <row r="233">
      <c r="E233" s="10"/>
      <c r="H233" s="27"/>
    </row>
    <row r="234">
      <c r="E234" s="10"/>
      <c r="H234" s="27"/>
    </row>
    <row r="235">
      <c r="E235" s="10"/>
      <c r="H235" s="27"/>
    </row>
    <row r="236">
      <c r="E236" s="10"/>
      <c r="H236" s="27"/>
    </row>
    <row r="237">
      <c r="E237" s="10"/>
      <c r="H237" s="27"/>
    </row>
    <row r="238">
      <c r="E238" s="10"/>
      <c r="H238" s="27"/>
    </row>
    <row r="239">
      <c r="E239" s="10"/>
      <c r="H239" s="27"/>
    </row>
    <row r="240">
      <c r="E240" s="10"/>
      <c r="H240" s="27"/>
    </row>
    <row r="241">
      <c r="E241" s="10"/>
      <c r="H241" s="27"/>
    </row>
    <row r="242">
      <c r="E242" s="10"/>
      <c r="H242" s="27"/>
    </row>
    <row r="243">
      <c r="E243" s="10"/>
      <c r="H243" s="27"/>
    </row>
    <row r="244">
      <c r="E244" s="10"/>
      <c r="H244" s="27"/>
    </row>
    <row r="245">
      <c r="E245" s="10"/>
      <c r="H245" s="27"/>
    </row>
    <row r="246">
      <c r="E246" s="10"/>
      <c r="H246" s="27"/>
    </row>
    <row r="247">
      <c r="E247" s="10"/>
      <c r="H247" s="27"/>
    </row>
    <row r="248">
      <c r="E248" s="10"/>
      <c r="H248" s="27"/>
    </row>
    <row r="249">
      <c r="E249" s="10"/>
      <c r="H249" s="27"/>
    </row>
    <row r="250">
      <c r="E250" s="10"/>
      <c r="H250" s="27"/>
    </row>
    <row r="251">
      <c r="E251" s="10"/>
      <c r="H251" s="27"/>
    </row>
    <row r="252">
      <c r="E252" s="10"/>
      <c r="H252" s="27"/>
    </row>
    <row r="253">
      <c r="E253" s="10"/>
      <c r="H253" s="27"/>
    </row>
    <row r="254">
      <c r="E254" s="10"/>
      <c r="H254" s="27"/>
    </row>
    <row r="255">
      <c r="E255" s="10"/>
      <c r="H255" s="27"/>
    </row>
    <row r="256">
      <c r="E256" s="10"/>
      <c r="H256" s="27"/>
    </row>
    <row r="257">
      <c r="E257" s="10"/>
      <c r="H257" s="27"/>
    </row>
    <row r="258">
      <c r="E258" s="10"/>
      <c r="H258" s="27"/>
    </row>
    <row r="259">
      <c r="E259" s="10"/>
      <c r="H259" s="27"/>
    </row>
    <row r="260">
      <c r="E260" s="10"/>
      <c r="H260" s="27"/>
    </row>
    <row r="261">
      <c r="E261" s="10"/>
      <c r="H261" s="27"/>
    </row>
    <row r="262">
      <c r="E262" s="10"/>
      <c r="H262" s="27"/>
    </row>
    <row r="263">
      <c r="E263" s="10"/>
      <c r="H263" s="27"/>
    </row>
    <row r="264">
      <c r="E264" s="10"/>
      <c r="H264" s="27"/>
    </row>
    <row r="265">
      <c r="E265" s="10"/>
      <c r="H265" s="27"/>
    </row>
    <row r="266">
      <c r="E266" s="10"/>
      <c r="H266" s="27"/>
    </row>
    <row r="267">
      <c r="E267" s="10"/>
      <c r="H267" s="27"/>
    </row>
    <row r="268">
      <c r="E268" s="10"/>
      <c r="H268" s="27"/>
    </row>
    <row r="269">
      <c r="E269" s="10"/>
      <c r="H269" s="27"/>
    </row>
    <row r="270">
      <c r="E270" s="10"/>
      <c r="H270" s="27"/>
    </row>
    <row r="271">
      <c r="E271" s="10"/>
      <c r="H271" s="27"/>
    </row>
    <row r="272">
      <c r="E272" s="10"/>
      <c r="H272" s="27"/>
    </row>
    <row r="273">
      <c r="E273" s="10"/>
      <c r="H273" s="27"/>
    </row>
    <row r="274">
      <c r="E274" s="10"/>
      <c r="H274" s="27"/>
    </row>
    <row r="275">
      <c r="E275" s="10"/>
      <c r="H275" s="27"/>
    </row>
    <row r="276">
      <c r="E276" s="10"/>
      <c r="H276" s="27"/>
    </row>
    <row r="277">
      <c r="E277" s="10"/>
      <c r="H277" s="27"/>
    </row>
    <row r="278">
      <c r="E278" s="10"/>
      <c r="H278" s="27"/>
    </row>
    <row r="279">
      <c r="E279" s="10"/>
      <c r="H279" s="27"/>
    </row>
    <row r="280">
      <c r="E280" s="10"/>
      <c r="H280" s="27"/>
    </row>
    <row r="281">
      <c r="E281" s="10"/>
      <c r="H281" s="27"/>
    </row>
    <row r="282">
      <c r="E282" s="10"/>
      <c r="H282" s="27"/>
    </row>
    <row r="283">
      <c r="E283" s="10"/>
      <c r="H283" s="27"/>
    </row>
    <row r="284">
      <c r="E284" s="10"/>
      <c r="H284" s="27"/>
    </row>
    <row r="285">
      <c r="E285" s="10"/>
      <c r="H285" s="27"/>
    </row>
    <row r="286">
      <c r="E286" s="10"/>
      <c r="H286" s="27"/>
    </row>
    <row r="287">
      <c r="E287" s="10"/>
      <c r="H287" s="27"/>
    </row>
    <row r="288">
      <c r="E288" s="10"/>
      <c r="H288" s="27"/>
    </row>
    <row r="289">
      <c r="E289" s="10"/>
      <c r="H289" s="27"/>
    </row>
    <row r="290">
      <c r="E290" s="10"/>
      <c r="H290" s="27"/>
    </row>
    <row r="291">
      <c r="E291" s="10"/>
      <c r="H291" s="27"/>
    </row>
    <row r="292">
      <c r="E292" s="10"/>
      <c r="H292" s="27"/>
    </row>
    <row r="293">
      <c r="E293" s="10"/>
      <c r="H293" s="27"/>
    </row>
    <row r="294">
      <c r="E294" s="10"/>
      <c r="H294" s="27"/>
    </row>
    <row r="295">
      <c r="E295" s="10"/>
      <c r="H295" s="27"/>
    </row>
    <row r="296">
      <c r="E296" s="10"/>
      <c r="H296" s="27"/>
    </row>
    <row r="297">
      <c r="E297" s="10"/>
      <c r="H297" s="27"/>
    </row>
    <row r="298">
      <c r="E298" s="10"/>
      <c r="H298" s="27"/>
    </row>
    <row r="299">
      <c r="E299" s="10"/>
      <c r="H299" s="27"/>
    </row>
    <row r="300">
      <c r="E300" s="10"/>
      <c r="H300" s="27"/>
    </row>
    <row r="301">
      <c r="E301" s="10"/>
      <c r="H301" s="27"/>
    </row>
    <row r="302">
      <c r="E302" s="10"/>
      <c r="H302" s="27"/>
    </row>
    <row r="303">
      <c r="E303" s="10"/>
      <c r="H303" s="27"/>
    </row>
    <row r="304">
      <c r="E304" s="10"/>
      <c r="H304" s="27"/>
    </row>
    <row r="305">
      <c r="E305" s="10"/>
      <c r="H305" s="27"/>
    </row>
    <row r="306">
      <c r="E306" s="10"/>
      <c r="H306" s="27"/>
    </row>
    <row r="307">
      <c r="E307" s="10"/>
      <c r="H307" s="27"/>
    </row>
    <row r="308">
      <c r="E308" s="10"/>
      <c r="H308" s="27"/>
    </row>
    <row r="309">
      <c r="E309" s="10"/>
      <c r="H309" s="27"/>
    </row>
    <row r="310">
      <c r="E310" s="10"/>
      <c r="H310" s="27"/>
    </row>
    <row r="311">
      <c r="E311" s="10"/>
      <c r="H311" s="27"/>
    </row>
    <row r="312">
      <c r="E312" s="10"/>
      <c r="H312" s="27"/>
    </row>
    <row r="313">
      <c r="E313" s="10"/>
      <c r="H313" s="27"/>
    </row>
    <row r="314">
      <c r="E314" s="10"/>
      <c r="H314" s="27"/>
    </row>
    <row r="315">
      <c r="E315" s="10"/>
      <c r="H315" s="27"/>
    </row>
    <row r="316">
      <c r="E316" s="10"/>
      <c r="H316" s="27"/>
    </row>
    <row r="317">
      <c r="E317" s="10"/>
      <c r="H317" s="27"/>
    </row>
    <row r="318">
      <c r="E318" s="10"/>
      <c r="H318" s="27"/>
    </row>
    <row r="319">
      <c r="E319" s="10"/>
      <c r="H319" s="27"/>
    </row>
    <row r="320">
      <c r="E320" s="10"/>
      <c r="H320" s="27"/>
    </row>
    <row r="321">
      <c r="E321" s="10"/>
      <c r="H321" s="27"/>
    </row>
    <row r="322">
      <c r="E322" s="10"/>
      <c r="H322" s="27"/>
    </row>
    <row r="323">
      <c r="E323" s="10"/>
      <c r="H323" s="27"/>
    </row>
    <row r="324">
      <c r="E324" s="10"/>
      <c r="H324" s="27"/>
    </row>
    <row r="325">
      <c r="E325" s="10"/>
      <c r="H325" s="27"/>
    </row>
    <row r="326">
      <c r="E326" s="10"/>
      <c r="H326" s="27"/>
    </row>
    <row r="327">
      <c r="E327" s="10"/>
      <c r="H327" s="27"/>
    </row>
    <row r="328">
      <c r="E328" s="10"/>
      <c r="H328" s="27"/>
    </row>
    <row r="329">
      <c r="E329" s="10"/>
      <c r="H329" s="27"/>
    </row>
    <row r="330">
      <c r="E330" s="10"/>
      <c r="H330" s="27"/>
    </row>
    <row r="331">
      <c r="E331" s="10"/>
      <c r="H331" s="27"/>
    </row>
    <row r="332">
      <c r="E332" s="10"/>
      <c r="H332" s="27"/>
    </row>
    <row r="333">
      <c r="E333" s="10"/>
      <c r="H333" s="27"/>
    </row>
    <row r="334">
      <c r="E334" s="10"/>
      <c r="H334" s="27"/>
    </row>
    <row r="335">
      <c r="E335" s="10"/>
      <c r="H335" s="27"/>
    </row>
    <row r="336">
      <c r="E336" s="10"/>
      <c r="H336" s="27"/>
    </row>
    <row r="337">
      <c r="E337" s="10"/>
      <c r="H337" s="27"/>
    </row>
    <row r="338">
      <c r="E338" s="10"/>
      <c r="H338" s="27"/>
    </row>
    <row r="339">
      <c r="E339" s="10"/>
      <c r="H339" s="27"/>
    </row>
    <row r="340">
      <c r="E340" s="10"/>
      <c r="H340" s="27"/>
    </row>
    <row r="341">
      <c r="E341" s="10"/>
      <c r="H341" s="27"/>
    </row>
    <row r="342">
      <c r="E342" s="10"/>
      <c r="H342" s="27"/>
    </row>
    <row r="343">
      <c r="E343" s="10"/>
      <c r="H343" s="27"/>
    </row>
    <row r="344">
      <c r="E344" s="10"/>
      <c r="H344" s="27"/>
    </row>
    <row r="345">
      <c r="E345" s="10"/>
      <c r="H345" s="27"/>
    </row>
    <row r="346">
      <c r="E346" s="10"/>
      <c r="H346" s="27"/>
    </row>
    <row r="347">
      <c r="E347" s="10"/>
      <c r="H347" s="27"/>
    </row>
    <row r="348">
      <c r="E348" s="10"/>
      <c r="H348" s="27"/>
    </row>
    <row r="349">
      <c r="E349" s="10"/>
      <c r="H349" s="27"/>
    </row>
    <row r="350">
      <c r="E350" s="10"/>
      <c r="H350" s="27"/>
    </row>
    <row r="351">
      <c r="E351" s="10"/>
      <c r="H351" s="27"/>
    </row>
    <row r="352">
      <c r="E352" s="10"/>
      <c r="H352" s="27"/>
    </row>
    <row r="353">
      <c r="E353" s="10"/>
      <c r="H353" s="27"/>
    </row>
    <row r="354">
      <c r="E354" s="10"/>
      <c r="H354" s="27"/>
    </row>
    <row r="355">
      <c r="E355" s="10"/>
      <c r="H355" s="27"/>
    </row>
    <row r="356">
      <c r="E356" s="10"/>
      <c r="H356" s="27"/>
    </row>
    <row r="357">
      <c r="E357" s="10"/>
      <c r="H357" s="27"/>
    </row>
    <row r="358">
      <c r="E358" s="10"/>
      <c r="H358" s="27"/>
    </row>
    <row r="359">
      <c r="E359" s="10"/>
      <c r="H359" s="27"/>
    </row>
    <row r="360">
      <c r="E360" s="10"/>
      <c r="H360" s="27"/>
    </row>
    <row r="361">
      <c r="E361" s="10"/>
      <c r="H361" s="27"/>
    </row>
    <row r="362">
      <c r="E362" s="10"/>
      <c r="H362" s="27"/>
    </row>
    <row r="363">
      <c r="E363" s="10"/>
      <c r="H363" s="27"/>
    </row>
    <row r="364">
      <c r="E364" s="10"/>
      <c r="H364" s="27"/>
    </row>
    <row r="365">
      <c r="E365" s="10"/>
      <c r="H365" s="27"/>
    </row>
    <row r="366">
      <c r="E366" s="10"/>
      <c r="H366" s="27"/>
    </row>
    <row r="367">
      <c r="E367" s="10"/>
      <c r="H367" s="27"/>
    </row>
    <row r="368">
      <c r="E368" s="10"/>
      <c r="H368" s="27"/>
    </row>
    <row r="369">
      <c r="E369" s="10"/>
      <c r="H369" s="27"/>
    </row>
    <row r="370">
      <c r="E370" s="10"/>
      <c r="H370" s="27"/>
    </row>
    <row r="371">
      <c r="E371" s="10"/>
      <c r="H371" s="27"/>
    </row>
    <row r="372">
      <c r="E372" s="10"/>
      <c r="H372" s="27"/>
    </row>
    <row r="373">
      <c r="E373" s="10"/>
      <c r="H373" s="27"/>
    </row>
    <row r="374">
      <c r="E374" s="10"/>
      <c r="H374" s="27"/>
    </row>
    <row r="375">
      <c r="E375" s="10"/>
      <c r="H375" s="27"/>
    </row>
    <row r="376">
      <c r="E376" s="10"/>
      <c r="H376" s="27"/>
    </row>
    <row r="377">
      <c r="E377" s="10"/>
      <c r="H377" s="27"/>
    </row>
    <row r="378">
      <c r="E378" s="10"/>
      <c r="H378" s="27"/>
    </row>
    <row r="379">
      <c r="E379" s="10"/>
      <c r="H379" s="27"/>
    </row>
    <row r="380">
      <c r="E380" s="10"/>
      <c r="H380" s="27"/>
    </row>
    <row r="381">
      <c r="E381" s="10"/>
      <c r="H381" s="27"/>
    </row>
    <row r="382">
      <c r="E382" s="10"/>
      <c r="H382" s="27"/>
    </row>
    <row r="383">
      <c r="E383" s="10"/>
      <c r="H383" s="27"/>
    </row>
    <row r="384">
      <c r="E384" s="10"/>
      <c r="H384" s="27"/>
    </row>
    <row r="385">
      <c r="E385" s="10"/>
      <c r="H385" s="27"/>
    </row>
    <row r="386">
      <c r="E386" s="10"/>
      <c r="H386" s="27"/>
    </row>
    <row r="387">
      <c r="E387" s="10"/>
      <c r="H387" s="27"/>
    </row>
    <row r="388">
      <c r="E388" s="10"/>
      <c r="H388" s="27"/>
    </row>
    <row r="389">
      <c r="E389" s="10"/>
      <c r="H389" s="27"/>
    </row>
    <row r="390">
      <c r="E390" s="10"/>
      <c r="H390" s="27"/>
    </row>
    <row r="391">
      <c r="E391" s="10"/>
      <c r="H391" s="27"/>
    </row>
    <row r="392">
      <c r="E392" s="10"/>
      <c r="H392" s="27"/>
    </row>
    <row r="393">
      <c r="E393" s="10"/>
      <c r="H393" s="27"/>
    </row>
    <row r="394">
      <c r="E394" s="10"/>
      <c r="H394" s="27"/>
    </row>
    <row r="395">
      <c r="E395" s="10"/>
      <c r="H395" s="27"/>
    </row>
    <row r="396">
      <c r="E396" s="10"/>
      <c r="H396" s="27"/>
    </row>
    <row r="397">
      <c r="E397" s="10"/>
      <c r="H397" s="27"/>
    </row>
    <row r="398">
      <c r="E398" s="10"/>
      <c r="H398" s="27"/>
    </row>
    <row r="399">
      <c r="E399" s="10"/>
      <c r="H399" s="27"/>
    </row>
    <row r="400">
      <c r="E400" s="10"/>
      <c r="H400" s="27"/>
    </row>
    <row r="401">
      <c r="E401" s="10"/>
      <c r="H401" s="27"/>
    </row>
    <row r="402">
      <c r="E402" s="10"/>
      <c r="H402" s="27"/>
    </row>
    <row r="403">
      <c r="E403" s="10"/>
      <c r="H403" s="27"/>
    </row>
    <row r="404">
      <c r="E404" s="10"/>
      <c r="H404" s="27"/>
    </row>
    <row r="405">
      <c r="E405" s="10"/>
      <c r="H405" s="27"/>
    </row>
    <row r="406">
      <c r="E406" s="10"/>
      <c r="H406" s="27"/>
    </row>
    <row r="407">
      <c r="E407" s="10"/>
      <c r="H407" s="27"/>
    </row>
    <row r="408">
      <c r="E408" s="10"/>
      <c r="H408" s="27"/>
    </row>
    <row r="409">
      <c r="E409" s="10"/>
      <c r="H409" s="27"/>
    </row>
    <row r="410">
      <c r="E410" s="10"/>
      <c r="H410" s="27"/>
    </row>
    <row r="411">
      <c r="E411" s="10"/>
      <c r="H411" s="27"/>
    </row>
    <row r="412">
      <c r="E412" s="10"/>
      <c r="H412" s="27"/>
    </row>
    <row r="413">
      <c r="E413" s="10"/>
      <c r="H413" s="27"/>
    </row>
    <row r="414">
      <c r="E414" s="10"/>
      <c r="H414" s="27"/>
    </row>
    <row r="415">
      <c r="E415" s="10"/>
      <c r="H415" s="27"/>
    </row>
    <row r="416">
      <c r="E416" s="10"/>
      <c r="H416" s="27"/>
    </row>
    <row r="417">
      <c r="E417" s="10"/>
      <c r="H417" s="27"/>
    </row>
    <row r="418">
      <c r="E418" s="10"/>
      <c r="H418" s="27"/>
    </row>
    <row r="419">
      <c r="E419" s="10"/>
      <c r="H419" s="27"/>
    </row>
    <row r="420">
      <c r="E420" s="10"/>
      <c r="H420" s="27"/>
    </row>
    <row r="421">
      <c r="E421" s="10"/>
      <c r="H421" s="27"/>
    </row>
    <row r="422">
      <c r="E422" s="10"/>
      <c r="H422" s="27"/>
    </row>
    <row r="423">
      <c r="E423" s="10"/>
      <c r="H423" s="27"/>
    </row>
    <row r="424">
      <c r="E424" s="10"/>
      <c r="H424" s="27"/>
    </row>
    <row r="425">
      <c r="E425" s="10"/>
      <c r="H425" s="27"/>
    </row>
    <row r="426">
      <c r="E426" s="10"/>
      <c r="H426" s="27"/>
    </row>
    <row r="427">
      <c r="E427" s="10"/>
      <c r="H427" s="27"/>
    </row>
    <row r="428">
      <c r="E428" s="10"/>
      <c r="H428" s="27"/>
    </row>
    <row r="429">
      <c r="E429" s="10"/>
      <c r="H429" s="27"/>
    </row>
    <row r="430">
      <c r="E430" s="10"/>
      <c r="H430" s="27"/>
    </row>
    <row r="431">
      <c r="E431" s="10"/>
      <c r="H431" s="27"/>
    </row>
    <row r="432">
      <c r="E432" s="10"/>
      <c r="H432" s="27"/>
    </row>
    <row r="433">
      <c r="E433" s="10"/>
      <c r="H433" s="27"/>
    </row>
    <row r="434">
      <c r="E434" s="10"/>
      <c r="H434" s="27"/>
    </row>
    <row r="435">
      <c r="E435" s="10"/>
      <c r="H435" s="27"/>
    </row>
    <row r="436">
      <c r="E436" s="10"/>
      <c r="H436" s="27"/>
    </row>
    <row r="437">
      <c r="E437" s="10"/>
      <c r="H437" s="27"/>
    </row>
    <row r="438">
      <c r="E438" s="10"/>
      <c r="H438" s="27"/>
    </row>
    <row r="439">
      <c r="E439" s="10"/>
      <c r="H439" s="27"/>
    </row>
    <row r="440">
      <c r="E440" s="10"/>
      <c r="H440" s="27"/>
    </row>
    <row r="441">
      <c r="E441" s="10"/>
      <c r="H441" s="27"/>
    </row>
    <row r="442">
      <c r="E442" s="10"/>
      <c r="H442" s="27"/>
    </row>
    <row r="443">
      <c r="E443" s="10"/>
      <c r="H443" s="27"/>
    </row>
    <row r="444">
      <c r="E444" s="10"/>
      <c r="H444" s="27"/>
    </row>
    <row r="445">
      <c r="E445" s="10"/>
      <c r="H445" s="27"/>
    </row>
    <row r="446">
      <c r="E446" s="10"/>
      <c r="H446" s="27"/>
    </row>
    <row r="447">
      <c r="E447" s="10"/>
      <c r="H447" s="27"/>
    </row>
    <row r="448">
      <c r="E448" s="10"/>
      <c r="H448" s="27"/>
    </row>
    <row r="449">
      <c r="E449" s="10"/>
      <c r="H449" s="27"/>
    </row>
    <row r="450">
      <c r="E450" s="10"/>
      <c r="H450" s="27"/>
    </row>
    <row r="451">
      <c r="E451" s="10"/>
      <c r="H451" s="27"/>
    </row>
    <row r="452">
      <c r="E452" s="10"/>
      <c r="H452" s="27"/>
    </row>
    <row r="453">
      <c r="E453" s="10"/>
      <c r="H453" s="27"/>
    </row>
    <row r="454">
      <c r="E454" s="10"/>
      <c r="H454" s="27"/>
    </row>
    <row r="455">
      <c r="E455" s="10"/>
      <c r="H455" s="27"/>
    </row>
    <row r="456">
      <c r="E456" s="10"/>
      <c r="H456" s="27"/>
    </row>
    <row r="457">
      <c r="E457" s="10"/>
      <c r="H457" s="27"/>
    </row>
    <row r="458">
      <c r="E458" s="10"/>
      <c r="H458" s="27"/>
    </row>
    <row r="459">
      <c r="E459" s="10"/>
      <c r="H459" s="27"/>
    </row>
    <row r="460">
      <c r="E460" s="10"/>
      <c r="H460" s="27"/>
    </row>
    <row r="461">
      <c r="E461" s="10"/>
      <c r="H461" s="27"/>
    </row>
    <row r="462">
      <c r="E462" s="10"/>
      <c r="H462" s="27"/>
    </row>
    <row r="463">
      <c r="E463" s="10"/>
      <c r="H463" s="27"/>
    </row>
    <row r="464">
      <c r="E464" s="10"/>
      <c r="H464" s="27"/>
    </row>
    <row r="465">
      <c r="E465" s="10"/>
      <c r="H465" s="27"/>
    </row>
    <row r="466">
      <c r="E466" s="10"/>
      <c r="H466" s="27"/>
    </row>
    <row r="467">
      <c r="E467" s="10"/>
      <c r="H467" s="27"/>
    </row>
    <row r="468">
      <c r="E468" s="10"/>
      <c r="H468" s="27"/>
    </row>
    <row r="469">
      <c r="E469" s="10"/>
      <c r="H469" s="27"/>
    </row>
    <row r="470">
      <c r="E470" s="10"/>
      <c r="H470" s="27"/>
    </row>
    <row r="471">
      <c r="E471" s="10"/>
      <c r="H471" s="27"/>
    </row>
    <row r="472">
      <c r="E472" s="10"/>
      <c r="H472" s="27"/>
    </row>
    <row r="473">
      <c r="E473" s="10"/>
      <c r="H473" s="27"/>
    </row>
    <row r="474">
      <c r="E474" s="10"/>
      <c r="H474" s="27"/>
    </row>
    <row r="475">
      <c r="E475" s="10"/>
      <c r="H475" s="27"/>
    </row>
    <row r="476">
      <c r="E476" s="10"/>
      <c r="H476" s="27"/>
    </row>
    <row r="477">
      <c r="E477" s="10"/>
      <c r="H477" s="27"/>
    </row>
    <row r="478">
      <c r="E478" s="10"/>
      <c r="H478" s="27"/>
    </row>
    <row r="479">
      <c r="E479" s="10"/>
      <c r="H479" s="27"/>
    </row>
    <row r="480">
      <c r="E480" s="10"/>
      <c r="H480" s="27"/>
    </row>
    <row r="481">
      <c r="E481" s="10"/>
      <c r="H481" s="27"/>
    </row>
    <row r="482">
      <c r="E482" s="10"/>
      <c r="H482" s="27"/>
    </row>
    <row r="483">
      <c r="E483" s="10"/>
      <c r="H483" s="27"/>
    </row>
    <row r="484">
      <c r="E484" s="10"/>
      <c r="H484" s="27"/>
    </row>
    <row r="485">
      <c r="E485" s="10"/>
      <c r="H485" s="27"/>
    </row>
    <row r="486">
      <c r="E486" s="10"/>
      <c r="H486" s="27"/>
    </row>
    <row r="487">
      <c r="E487" s="10"/>
      <c r="H487" s="27"/>
    </row>
    <row r="488">
      <c r="E488" s="10"/>
      <c r="H488" s="27"/>
    </row>
    <row r="489">
      <c r="E489" s="10"/>
      <c r="H489" s="27"/>
    </row>
    <row r="490">
      <c r="E490" s="10"/>
      <c r="H490" s="27"/>
    </row>
    <row r="491">
      <c r="E491" s="10"/>
      <c r="H491" s="27"/>
    </row>
    <row r="492">
      <c r="E492" s="10"/>
      <c r="H492" s="27"/>
    </row>
    <row r="493">
      <c r="E493" s="10"/>
      <c r="H493" s="27"/>
    </row>
    <row r="494">
      <c r="E494" s="10"/>
      <c r="H494" s="27"/>
    </row>
    <row r="495">
      <c r="E495" s="10"/>
      <c r="H495" s="27"/>
    </row>
    <row r="496">
      <c r="E496" s="10"/>
      <c r="H496" s="27"/>
    </row>
    <row r="497">
      <c r="E497" s="10"/>
      <c r="H497" s="27"/>
    </row>
    <row r="498">
      <c r="E498" s="10"/>
      <c r="H498" s="27"/>
    </row>
    <row r="499">
      <c r="E499" s="10"/>
      <c r="H499" s="27"/>
    </row>
    <row r="500">
      <c r="E500" s="10"/>
      <c r="H500" s="27"/>
    </row>
    <row r="501">
      <c r="E501" s="10"/>
      <c r="H501" s="27"/>
    </row>
    <row r="502">
      <c r="E502" s="10"/>
      <c r="H502" s="27"/>
    </row>
    <row r="503">
      <c r="E503" s="10"/>
      <c r="H503" s="27"/>
    </row>
    <row r="504">
      <c r="E504" s="10"/>
      <c r="H504" s="27"/>
    </row>
    <row r="505">
      <c r="E505" s="10"/>
      <c r="H505" s="27"/>
    </row>
    <row r="506">
      <c r="E506" s="10"/>
      <c r="H506" s="27"/>
    </row>
    <row r="507">
      <c r="E507" s="10"/>
      <c r="H507" s="27"/>
    </row>
    <row r="508">
      <c r="E508" s="10"/>
      <c r="H508" s="27"/>
    </row>
    <row r="509">
      <c r="E509" s="10"/>
      <c r="H509" s="27"/>
    </row>
    <row r="510">
      <c r="E510" s="10"/>
      <c r="H510" s="27"/>
    </row>
    <row r="511">
      <c r="E511" s="10"/>
      <c r="H511" s="27"/>
    </row>
    <row r="512">
      <c r="E512" s="10"/>
      <c r="H512" s="27"/>
    </row>
    <row r="513">
      <c r="E513" s="10"/>
      <c r="H513" s="27"/>
    </row>
    <row r="514">
      <c r="E514" s="10"/>
      <c r="H514" s="27"/>
    </row>
    <row r="515">
      <c r="E515" s="10"/>
      <c r="H515" s="27"/>
    </row>
    <row r="516">
      <c r="E516" s="10"/>
      <c r="H516" s="27"/>
    </row>
    <row r="517">
      <c r="E517" s="10"/>
      <c r="H517" s="27"/>
    </row>
    <row r="518">
      <c r="E518" s="10"/>
      <c r="H518" s="27"/>
    </row>
    <row r="519">
      <c r="E519" s="10"/>
      <c r="H519" s="27"/>
    </row>
    <row r="520">
      <c r="E520" s="10"/>
      <c r="H520" s="27"/>
    </row>
    <row r="521">
      <c r="E521" s="10"/>
      <c r="H521" s="27"/>
    </row>
    <row r="522">
      <c r="E522" s="10"/>
      <c r="H522" s="27"/>
    </row>
    <row r="523">
      <c r="E523" s="10"/>
      <c r="H523" s="27"/>
    </row>
    <row r="524">
      <c r="E524" s="10"/>
      <c r="H524" s="27"/>
    </row>
    <row r="525">
      <c r="E525" s="10"/>
      <c r="H525" s="27"/>
    </row>
    <row r="526">
      <c r="E526" s="10"/>
      <c r="H526" s="27"/>
    </row>
    <row r="527">
      <c r="E527" s="10"/>
      <c r="H527" s="27"/>
    </row>
    <row r="528">
      <c r="E528" s="10"/>
      <c r="H528" s="27"/>
    </row>
    <row r="529">
      <c r="E529" s="10"/>
      <c r="H529" s="27"/>
    </row>
    <row r="530">
      <c r="E530" s="10"/>
      <c r="H530" s="27"/>
    </row>
    <row r="531">
      <c r="E531" s="10"/>
      <c r="H531" s="27"/>
    </row>
    <row r="532">
      <c r="E532" s="10"/>
      <c r="H532" s="27"/>
    </row>
    <row r="533">
      <c r="E533" s="10"/>
      <c r="H533" s="27"/>
    </row>
    <row r="534">
      <c r="E534" s="10"/>
      <c r="H534" s="27"/>
    </row>
    <row r="535">
      <c r="E535" s="10"/>
      <c r="H535" s="27"/>
    </row>
    <row r="536">
      <c r="E536" s="10"/>
      <c r="H536" s="27"/>
    </row>
    <row r="537">
      <c r="E537" s="10"/>
      <c r="H537" s="27"/>
    </row>
    <row r="538">
      <c r="E538" s="10"/>
      <c r="H538" s="27"/>
    </row>
    <row r="539">
      <c r="E539" s="10"/>
      <c r="H539" s="27"/>
    </row>
    <row r="540">
      <c r="E540" s="10"/>
      <c r="H540" s="27"/>
    </row>
    <row r="541">
      <c r="E541" s="10"/>
      <c r="H541" s="27"/>
    </row>
    <row r="542">
      <c r="E542" s="10"/>
      <c r="H542" s="27"/>
    </row>
    <row r="543">
      <c r="E543" s="10"/>
      <c r="H543" s="27"/>
    </row>
    <row r="544">
      <c r="E544" s="10"/>
      <c r="H544" s="27"/>
    </row>
    <row r="545">
      <c r="E545" s="10"/>
      <c r="H545" s="27"/>
    </row>
    <row r="546">
      <c r="E546" s="10"/>
      <c r="H546" s="27"/>
    </row>
    <row r="547">
      <c r="E547" s="10"/>
      <c r="H547" s="27"/>
    </row>
    <row r="548">
      <c r="E548" s="10"/>
      <c r="H548" s="27"/>
    </row>
    <row r="549">
      <c r="E549" s="10"/>
      <c r="H549" s="27"/>
    </row>
    <row r="550">
      <c r="E550" s="10"/>
      <c r="H550" s="27"/>
    </row>
    <row r="551">
      <c r="E551" s="10"/>
      <c r="H551" s="27"/>
    </row>
    <row r="552">
      <c r="E552" s="10"/>
      <c r="H552" s="27"/>
    </row>
    <row r="553">
      <c r="E553" s="10"/>
      <c r="H553" s="27"/>
    </row>
    <row r="554">
      <c r="E554" s="10"/>
      <c r="H554" s="27"/>
    </row>
    <row r="555">
      <c r="E555" s="10"/>
      <c r="H555" s="27"/>
    </row>
    <row r="556">
      <c r="E556" s="10"/>
      <c r="H556" s="27"/>
    </row>
    <row r="557">
      <c r="E557" s="10"/>
      <c r="H557" s="27"/>
    </row>
    <row r="558">
      <c r="E558" s="10"/>
      <c r="H558" s="27"/>
    </row>
    <row r="559">
      <c r="E559" s="10"/>
      <c r="H559" s="27"/>
    </row>
    <row r="560">
      <c r="E560" s="10"/>
      <c r="H560" s="27"/>
    </row>
    <row r="561">
      <c r="E561" s="10"/>
      <c r="H561" s="27"/>
    </row>
    <row r="562">
      <c r="E562" s="10"/>
      <c r="H562" s="27"/>
    </row>
    <row r="563">
      <c r="E563" s="10"/>
      <c r="H563" s="27"/>
    </row>
    <row r="564">
      <c r="E564" s="10"/>
      <c r="H564" s="27"/>
    </row>
    <row r="565">
      <c r="E565" s="10"/>
      <c r="H565" s="27"/>
    </row>
    <row r="566">
      <c r="E566" s="10"/>
      <c r="H566" s="27"/>
    </row>
    <row r="567">
      <c r="E567" s="10"/>
      <c r="H567" s="27"/>
    </row>
    <row r="568">
      <c r="E568" s="10"/>
      <c r="H568" s="27"/>
    </row>
    <row r="569">
      <c r="E569" s="10"/>
      <c r="H569" s="27"/>
    </row>
    <row r="570">
      <c r="E570" s="10"/>
      <c r="H570" s="27"/>
    </row>
    <row r="571">
      <c r="E571" s="10"/>
      <c r="H571" s="27"/>
    </row>
    <row r="572">
      <c r="E572" s="10"/>
      <c r="H572" s="27"/>
    </row>
    <row r="573">
      <c r="E573" s="10"/>
      <c r="H573" s="27"/>
    </row>
    <row r="574">
      <c r="E574" s="10"/>
      <c r="H574" s="27"/>
    </row>
    <row r="575">
      <c r="E575" s="10"/>
      <c r="H575" s="27"/>
    </row>
    <row r="576">
      <c r="E576" s="10"/>
      <c r="H576" s="27"/>
    </row>
    <row r="577">
      <c r="E577" s="10"/>
      <c r="H577" s="27"/>
    </row>
    <row r="578">
      <c r="E578" s="10"/>
      <c r="H578" s="27"/>
    </row>
    <row r="579">
      <c r="E579" s="10"/>
      <c r="H579" s="27"/>
    </row>
    <row r="580">
      <c r="E580" s="10"/>
      <c r="H580" s="27"/>
    </row>
    <row r="581">
      <c r="E581" s="10"/>
      <c r="H581" s="27"/>
    </row>
    <row r="582">
      <c r="E582" s="10"/>
      <c r="H582" s="27"/>
    </row>
    <row r="583">
      <c r="E583" s="10"/>
      <c r="H583" s="27"/>
    </row>
    <row r="584">
      <c r="E584" s="10"/>
      <c r="H584" s="27"/>
    </row>
    <row r="585">
      <c r="E585" s="10"/>
      <c r="H585" s="27"/>
    </row>
    <row r="586">
      <c r="E586" s="10"/>
      <c r="H586" s="27"/>
    </row>
    <row r="587">
      <c r="E587" s="10"/>
      <c r="H587" s="27"/>
    </row>
    <row r="588">
      <c r="E588" s="10"/>
      <c r="H588" s="27"/>
    </row>
    <row r="589">
      <c r="E589" s="10"/>
      <c r="H589" s="27"/>
    </row>
    <row r="590">
      <c r="E590" s="10"/>
      <c r="H590" s="27"/>
    </row>
    <row r="591">
      <c r="E591" s="10"/>
      <c r="H591" s="27"/>
    </row>
    <row r="592">
      <c r="E592" s="10"/>
      <c r="H592" s="27"/>
    </row>
    <row r="593">
      <c r="E593" s="10"/>
      <c r="H593" s="27"/>
    </row>
    <row r="594">
      <c r="E594" s="10"/>
      <c r="H594" s="27"/>
    </row>
    <row r="595">
      <c r="E595" s="10"/>
      <c r="H595" s="27"/>
    </row>
    <row r="596">
      <c r="E596" s="10"/>
      <c r="H596" s="27"/>
    </row>
    <row r="597">
      <c r="E597" s="10"/>
      <c r="H597" s="27"/>
    </row>
    <row r="598">
      <c r="E598" s="10"/>
      <c r="H598" s="27"/>
    </row>
    <row r="599">
      <c r="E599" s="10"/>
      <c r="H599" s="27"/>
    </row>
    <row r="600">
      <c r="E600" s="10"/>
      <c r="H600" s="27"/>
    </row>
    <row r="601">
      <c r="E601" s="10"/>
      <c r="H601" s="27"/>
    </row>
    <row r="602">
      <c r="E602" s="10"/>
      <c r="H602" s="27"/>
    </row>
    <row r="603">
      <c r="E603" s="10"/>
      <c r="H603" s="27"/>
    </row>
    <row r="604">
      <c r="E604" s="10"/>
      <c r="H604" s="27"/>
    </row>
    <row r="605">
      <c r="E605" s="10"/>
      <c r="H605" s="27"/>
    </row>
    <row r="606">
      <c r="E606" s="10"/>
      <c r="H606" s="27"/>
    </row>
    <row r="607">
      <c r="E607" s="10"/>
      <c r="H607" s="27"/>
    </row>
    <row r="608">
      <c r="E608" s="10"/>
      <c r="H608" s="27"/>
    </row>
    <row r="609">
      <c r="E609" s="10"/>
      <c r="H609" s="27"/>
    </row>
    <row r="610">
      <c r="E610" s="10"/>
      <c r="H610" s="27"/>
    </row>
    <row r="611">
      <c r="E611" s="10"/>
      <c r="H611" s="27"/>
    </row>
    <row r="612">
      <c r="E612" s="10"/>
      <c r="H612" s="27"/>
    </row>
    <row r="613">
      <c r="E613" s="10"/>
      <c r="H613" s="27"/>
    </row>
    <row r="614">
      <c r="E614" s="10"/>
      <c r="H614" s="27"/>
    </row>
    <row r="615">
      <c r="E615" s="10"/>
      <c r="H615" s="27"/>
    </row>
    <row r="616">
      <c r="E616" s="10"/>
      <c r="H616" s="27"/>
    </row>
    <row r="617">
      <c r="E617" s="10"/>
      <c r="H617" s="27"/>
    </row>
    <row r="618">
      <c r="E618" s="10"/>
      <c r="H618" s="27"/>
    </row>
    <row r="619">
      <c r="E619" s="10"/>
      <c r="H619" s="27"/>
    </row>
    <row r="620">
      <c r="E620" s="10"/>
      <c r="H620" s="27"/>
    </row>
    <row r="621">
      <c r="E621" s="10"/>
      <c r="H621" s="27"/>
    </row>
    <row r="622">
      <c r="E622" s="10"/>
      <c r="H622" s="27"/>
    </row>
    <row r="623">
      <c r="E623" s="10"/>
      <c r="H623" s="27"/>
    </row>
    <row r="624">
      <c r="E624" s="10"/>
      <c r="H624" s="27"/>
    </row>
    <row r="625">
      <c r="E625" s="10"/>
      <c r="H625" s="27"/>
    </row>
    <row r="626">
      <c r="E626" s="10"/>
      <c r="H626" s="27"/>
    </row>
    <row r="627">
      <c r="E627" s="10"/>
      <c r="H627" s="27"/>
    </row>
    <row r="628">
      <c r="E628" s="10"/>
      <c r="H628" s="27"/>
    </row>
    <row r="629">
      <c r="E629" s="10"/>
      <c r="H629" s="27"/>
    </row>
    <row r="630">
      <c r="E630" s="10"/>
      <c r="H630" s="27"/>
    </row>
    <row r="631">
      <c r="E631" s="10"/>
      <c r="H631" s="27"/>
    </row>
    <row r="632">
      <c r="E632" s="10"/>
      <c r="H632" s="27"/>
    </row>
    <row r="633">
      <c r="E633" s="10"/>
      <c r="H633" s="27"/>
    </row>
    <row r="634">
      <c r="E634" s="10"/>
      <c r="H634" s="27"/>
    </row>
    <row r="635">
      <c r="E635" s="10"/>
      <c r="H635" s="27"/>
    </row>
    <row r="636">
      <c r="E636" s="10"/>
      <c r="H636" s="27"/>
    </row>
    <row r="637">
      <c r="E637" s="10"/>
      <c r="H637" s="27"/>
    </row>
    <row r="638">
      <c r="E638" s="10"/>
      <c r="H638" s="27"/>
    </row>
    <row r="639">
      <c r="E639" s="10"/>
      <c r="H639" s="27"/>
    </row>
    <row r="640">
      <c r="E640" s="10"/>
      <c r="H640" s="27"/>
    </row>
    <row r="641">
      <c r="E641" s="10"/>
      <c r="H641" s="27"/>
    </row>
    <row r="642">
      <c r="E642" s="10"/>
      <c r="H642" s="27"/>
    </row>
    <row r="643">
      <c r="E643" s="10"/>
      <c r="H643" s="27"/>
    </row>
    <row r="644">
      <c r="E644" s="10"/>
      <c r="H644" s="27"/>
    </row>
    <row r="645">
      <c r="E645" s="10"/>
      <c r="H645" s="27"/>
    </row>
    <row r="646">
      <c r="E646" s="10"/>
      <c r="H646" s="27"/>
    </row>
    <row r="647">
      <c r="E647" s="10"/>
      <c r="H647" s="27"/>
    </row>
    <row r="648">
      <c r="E648" s="10"/>
      <c r="H648" s="27"/>
    </row>
    <row r="649">
      <c r="E649" s="10"/>
      <c r="H649" s="27"/>
    </row>
    <row r="650">
      <c r="E650" s="10"/>
      <c r="H650" s="27"/>
    </row>
    <row r="651">
      <c r="E651" s="10"/>
      <c r="H651" s="27"/>
    </row>
    <row r="652">
      <c r="E652" s="10"/>
      <c r="H652" s="27"/>
    </row>
    <row r="653">
      <c r="E653" s="10"/>
      <c r="H653" s="27"/>
    </row>
    <row r="654">
      <c r="E654" s="10"/>
      <c r="H654" s="27"/>
    </row>
    <row r="655">
      <c r="E655" s="10"/>
      <c r="H655" s="27"/>
    </row>
    <row r="656">
      <c r="E656" s="10"/>
      <c r="H656" s="27"/>
    </row>
    <row r="657">
      <c r="E657" s="10"/>
      <c r="H657" s="27"/>
    </row>
    <row r="658">
      <c r="E658" s="10"/>
      <c r="H658" s="27"/>
    </row>
    <row r="659">
      <c r="E659" s="10"/>
      <c r="H659" s="27"/>
    </row>
    <row r="660">
      <c r="E660" s="10"/>
      <c r="H660" s="27"/>
    </row>
    <row r="661">
      <c r="E661" s="10"/>
      <c r="H661" s="27"/>
    </row>
    <row r="662">
      <c r="E662" s="10"/>
      <c r="H662" s="27"/>
    </row>
    <row r="663">
      <c r="E663" s="10"/>
      <c r="H663" s="27"/>
    </row>
    <row r="664">
      <c r="E664" s="10"/>
      <c r="H664" s="27"/>
    </row>
    <row r="665">
      <c r="E665" s="10"/>
      <c r="H665" s="27"/>
    </row>
    <row r="666">
      <c r="E666" s="10"/>
      <c r="H666" s="27"/>
    </row>
    <row r="667">
      <c r="E667" s="10"/>
      <c r="H667" s="27"/>
    </row>
    <row r="668">
      <c r="E668" s="10"/>
      <c r="H668" s="27"/>
    </row>
    <row r="669">
      <c r="E669" s="10"/>
      <c r="H669" s="27"/>
    </row>
    <row r="670">
      <c r="E670" s="10"/>
      <c r="H670" s="27"/>
    </row>
    <row r="671">
      <c r="E671" s="10"/>
      <c r="H671" s="27"/>
    </row>
    <row r="672">
      <c r="E672" s="10"/>
      <c r="H672" s="27"/>
    </row>
    <row r="673">
      <c r="E673" s="10"/>
      <c r="H673" s="27"/>
    </row>
    <row r="674">
      <c r="E674" s="10"/>
      <c r="H674" s="27"/>
    </row>
    <row r="675">
      <c r="E675" s="10"/>
      <c r="H675" s="27"/>
    </row>
    <row r="676">
      <c r="E676" s="10"/>
      <c r="H676" s="27"/>
    </row>
    <row r="677">
      <c r="E677" s="10"/>
      <c r="H677" s="27"/>
    </row>
    <row r="678">
      <c r="E678" s="10"/>
      <c r="H678" s="27"/>
    </row>
    <row r="679">
      <c r="E679" s="10"/>
      <c r="H679" s="27"/>
    </row>
    <row r="680">
      <c r="E680" s="10"/>
      <c r="H680" s="27"/>
    </row>
    <row r="681">
      <c r="E681" s="10"/>
      <c r="H681" s="27"/>
    </row>
    <row r="682">
      <c r="E682" s="10"/>
      <c r="H682" s="27"/>
    </row>
    <row r="683">
      <c r="E683" s="10"/>
      <c r="H683" s="27"/>
    </row>
    <row r="684">
      <c r="E684" s="10"/>
      <c r="H684" s="27"/>
    </row>
    <row r="685">
      <c r="E685" s="10"/>
      <c r="H685" s="27"/>
    </row>
    <row r="686">
      <c r="E686" s="10"/>
      <c r="H686" s="27"/>
    </row>
    <row r="687">
      <c r="E687" s="10"/>
      <c r="H687" s="27"/>
    </row>
    <row r="688">
      <c r="E688" s="10"/>
      <c r="H688" s="27"/>
    </row>
    <row r="689">
      <c r="E689" s="10"/>
      <c r="H689" s="27"/>
    </row>
    <row r="690">
      <c r="E690" s="10"/>
      <c r="H690" s="27"/>
    </row>
    <row r="691">
      <c r="E691" s="10"/>
      <c r="H691" s="27"/>
    </row>
    <row r="692">
      <c r="E692" s="10"/>
      <c r="H692" s="27"/>
    </row>
    <row r="693">
      <c r="E693" s="10"/>
      <c r="H693" s="27"/>
    </row>
    <row r="694">
      <c r="E694" s="10"/>
      <c r="H694" s="27"/>
    </row>
    <row r="695">
      <c r="E695" s="10"/>
      <c r="H695" s="27"/>
    </row>
    <row r="696">
      <c r="E696" s="10"/>
      <c r="H696" s="27"/>
    </row>
    <row r="697">
      <c r="E697" s="10"/>
      <c r="H697" s="27"/>
    </row>
    <row r="698">
      <c r="E698" s="10"/>
      <c r="H698" s="27"/>
    </row>
    <row r="699">
      <c r="E699" s="10"/>
      <c r="H699" s="27"/>
    </row>
    <row r="700">
      <c r="E700" s="10"/>
      <c r="H700" s="27"/>
    </row>
    <row r="701">
      <c r="E701" s="10"/>
      <c r="H701" s="27"/>
    </row>
    <row r="702">
      <c r="E702" s="10"/>
      <c r="H702" s="27"/>
    </row>
    <row r="703">
      <c r="E703" s="10"/>
      <c r="H703" s="27"/>
    </row>
    <row r="704">
      <c r="E704" s="10"/>
      <c r="H704" s="27"/>
    </row>
    <row r="705">
      <c r="E705" s="10"/>
      <c r="H705" s="27"/>
    </row>
    <row r="706">
      <c r="E706" s="10"/>
      <c r="H706" s="27"/>
    </row>
    <row r="707">
      <c r="E707" s="10"/>
      <c r="H707" s="27"/>
    </row>
    <row r="708">
      <c r="E708" s="10"/>
      <c r="H708" s="27"/>
    </row>
    <row r="709">
      <c r="E709" s="10"/>
      <c r="H709" s="27"/>
    </row>
    <row r="710">
      <c r="E710" s="10"/>
      <c r="H710" s="27"/>
    </row>
    <row r="711">
      <c r="E711" s="10"/>
      <c r="H711" s="27"/>
    </row>
    <row r="712">
      <c r="E712" s="10"/>
      <c r="H712" s="27"/>
    </row>
    <row r="713">
      <c r="E713" s="10"/>
      <c r="H713" s="27"/>
    </row>
    <row r="714">
      <c r="E714" s="10"/>
      <c r="H714" s="27"/>
    </row>
    <row r="715">
      <c r="E715" s="10"/>
      <c r="H715" s="27"/>
    </row>
    <row r="716">
      <c r="E716" s="10"/>
      <c r="H716" s="27"/>
    </row>
    <row r="717">
      <c r="E717" s="10"/>
      <c r="H717" s="27"/>
    </row>
    <row r="718">
      <c r="E718" s="10"/>
      <c r="H718" s="27"/>
    </row>
    <row r="719">
      <c r="E719" s="10"/>
      <c r="H719" s="27"/>
    </row>
    <row r="720">
      <c r="E720" s="10"/>
      <c r="H720" s="27"/>
    </row>
    <row r="721">
      <c r="E721" s="10"/>
      <c r="H721" s="27"/>
    </row>
    <row r="722">
      <c r="E722" s="10"/>
      <c r="H722" s="27"/>
    </row>
    <row r="723">
      <c r="E723" s="10"/>
      <c r="H723" s="27"/>
    </row>
    <row r="724">
      <c r="E724" s="10"/>
      <c r="H724" s="27"/>
    </row>
    <row r="725">
      <c r="E725" s="10"/>
      <c r="H725" s="27"/>
    </row>
    <row r="726">
      <c r="E726" s="10"/>
      <c r="H726" s="27"/>
    </row>
    <row r="727">
      <c r="E727" s="10"/>
      <c r="H727" s="27"/>
    </row>
    <row r="728">
      <c r="E728" s="10"/>
      <c r="H728" s="27"/>
    </row>
    <row r="729">
      <c r="E729" s="10"/>
      <c r="H729" s="27"/>
    </row>
    <row r="730">
      <c r="E730" s="10"/>
      <c r="H730" s="27"/>
    </row>
    <row r="731">
      <c r="E731" s="10"/>
      <c r="H731" s="27"/>
    </row>
    <row r="732">
      <c r="E732" s="10"/>
      <c r="H732" s="27"/>
    </row>
    <row r="733">
      <c r="E733" s="10"/>
      <c r="H733" s="27"/>
    </row>
    <row r="734">
      <c r="E734" s="10"/>
      <c r="H734" s="27"/>
    </row>
    <row r="735">
      <c r="E735" s="10"/>
      <c r="H735" s="27"/>
    </row>
    <row r="736">
      <c r="E736" s="10"/>
      <c r="H736" s="27"/>
    </row>
    <row r="737">
      <c r="E737" s="10"/>
      <c r="H737" s="27"/>
    </row>
    <row r="738">
      <c r="E738" s="10"/>
      <c r="H738" s="27"/>
    </row>
    <row r="739">
      <c r="E739" s="10"/>
      <c r="H739" s="27"/>
    </row>
    <row r="740">
      <c r="E740" s="10"/>
      <c r="H740" s="27"/>
    </row>
    <row r="741">
      <c r="E741" s="10"/>
      <c r="H741" s="27"/>
    </row>
    <row r="742">
      <c r="E742" s="10"/>
      <c r="H742" s="27"/>
    </row>
    <row r="743">
      <c r="E743" s="10"/>
      <c r="H743" s="27"/>
    </row>
    <row r="744">
      <c r="E744" s="10"/>
      <c r="H744" s="27"/>
    </row>
    <row r="745">
      <c r="E745" s="10"/>
      <c r="H745" s="27"/>
    </row>
    <row r="746">
      <c r="E746" s="10"/>
      <c r="H746" s="27"/>
    </row>
    <row r="747">
      <c r="E747" s="10"/>
      <c r="H747" s="27"/>
    </row>
    <row r="748">
      <c r="E748" s="10"/>
      <c r="H748" s="27"/>
    </row>
    <row r="749">
      <c r="E749" s="10"/>
      <c r="H749" s="27"/>
    </row>
    <row r="750">
      <c r="E750" s="10"/>
      <c r="H750" s="27"/>
    </row>
    <row r="751">
      <c r="E751" s="10"/>
      <c r="H751" s="27"/>
    </row>
    <row r="752">
      <c r="E752" s="10"/>
      <c r="H752" s="27"/>
    </row>
    <row r="753">
      <c r="E753" s="10"/>
      <c r="H753" s="27"/>
    </row>
    <row r="754">
      <c r="E754" s="10"/>
      <c r="H754" s="27"/>
    </row>
    <row r="755">
      <c r="E755" s="10"/>
      <c r="H755" s="27"/>
    </row>
    <row r="756">
      <c r="E756" s="10"/>
      <c r="H756" s="27"/>
    </row>
    <row r="757">
      <c r="E757" s="10"/>
      <c r="H757" s="27"/>
    </row>
    <row r="758">
      <c r="E758" s="10"/>
      <c r="H758" s="27"/>
    </row>
    <row r="759">
      <c r="E759" s="10"/>
      <c r="H759" s="27"/>
    </row>
    <row r="760">
      <c r="E760" s="10"/>
      <c r="H760" s="27"/>
    </row>
    <row r="761">
      <c r="E761" s="10"/>
      <c r="H761" s="27"/>
    </row>
    <row r="762">
      <c r="E762" s="10"/>
      <c r="H762" s="27"/>
    </row>
    <row r="763">
      <c r="E763" s="10"/>
      <c r="H763" s="27"/>
    </row>
    <row r="764">
      <c r="E764" s="10"/>
      <c r="H764" s="27"/>
    </row>
    <row r="765">
      <c r="E765" s="10"/>
      <c r="H765" s="27"/>
    </row>
    <row r="766">
      <c r="E766" s="10"/>
      <c r="H766" s="27"/>
    </row>
    <row r="767">
      <c r="E767" s="10"/>
      <c r="H767" s="27"/>
    </row>
    <row r="768">
      <c r="E768" s="10"/>
      <c r="H768" s="27"/>
    </row>
    <row r="769">
      <c r="E769" s="10"/>
      <c r="H769" s="27"/>
    </row>
    <row r="770">
      <c r="E770" s="10"/>
      <c r="H770" s="27"/>
    </row>
    <row r="771">
      <c r="E771" s="10"/>
      <c r="H771" s="27"/>
    </row>
    <row r="772">
      <c r="E772" s="10"/>
      <c r="H772" s="27"/>
    </row>
    <row r="773">
      <c r="E773" s="10"/>
      <c r="H773" s="27"/>
    </row>
    <row r="774">
      <c r="E774" s="10"/>
      <c r="H774" s="27"/>
    </row>
    <row r="775">
      <c r="E775" s="10"/>
      <c r="H775" s="27"/>
    </row>
    <row r="776">
      <c r="E776" s="10"/>
      <c r="H776" s="27"/>
    </row>
    <row r="777">
      <c r="E777" s="10"/>
      <c r="H777" s="27"/>
    </row>
    <row r="778">
      <c r="E778" s="10"/>
      <c r="H778" s="27"/>
    </row>
    <row r="779">
      <c r="E779" s="10"/>
      <c r="H779" s="27"/>
    </row>
    <row r="780">
      <c r="E780" s="10"/>
      <c r="H780" s="27"/>
    </row>
    <row r="781">
      <c r="E781" s="10"/>
      <c r="H781" s="27"/>
    </row>
    <row r="782">
      <c r="E782" s="10"/>
      <c r="H782" s="27"/>
    </row>
    <row r="783">
      <c r="E783" s="10"/>
      <c r="H783" s="27"/>
    </row>
    <row r="784">
      <c r="E784" s="10"/>
      <c r="H784" s="27"/>
    </row>
    <row r="785">
      <c r="E785" s="10"/>
      <c r="H785" s="27"/>
    </row>
    <row r="786">
      <c r="E786" s="10"/>
      <c r="H786" s="27"/>
    </row>
    <row r="787">
      <c r="E787" s="10"/>
      <c r="H787" s="27"/>
    </row>
    <row r="788">
      <c r="E788" s="10"/>
      <c r="H788" s="27"/>
    </row>
    <row r="789">
      <c r="E789" s="10"/>
      <c r="H789" s="27"/>
    </row>
    <row r="790">
      <c r="E790" s="10"/>
      <c r="H790" s="27"/>
    </row>
    <row r="791">
      <c r="E791" s="10"/>
      <c r="H791" s="27"/>
    </row>
    <row r="792">
      <c r="E792" s="10"/>
      <c r="H792" s="27"/>
    </row>
    <row r="793">
      <c r="E793" s="10"/>
      <c r="H793" s="27"/>
    </row>
    <row r="794">
      <c r="E794" s="10"/>
      <c r="H794" s="27"/>
    </row>
    <row r="795">
      <c r="E795" s="10"/>
      <c r="H795" s="27"/>
    </row>
    <row r="796">
      <c r="E796" s="10"/>
      <c r="H796" s="27"/>
    </row>
    <row r="797">
      <c r="E797" s="10"/>
      <c r="H797" s="27"/>
    </row>
    <row r="798">
      <c r="E798" s="10"/>
      <c r="H798" s="27"/>
    </row>
    <row r="799">
      <c r="E799" s="10"/>
      <c r="H799" s="27"/>
    </row>
    <row r="800">
      <c r="E800" s="10"/>
      <c r="H800" s="27"/>
    </row>
    <row r="801">
      <c r="E801" s="10"/>
      <c r="H801" s="27"/>
    </row>
    <row r="802">
      <c r="E802" s="10"/>
      <c r="H802" s="27"/>
    </row>
    <row r="803">
      <c r="E803" s="10"/>
      <c r="H803" s="27"/>
    </row>
    <row r="804">
      <c r="E804" s="10"/>
      <c r="H804" s="27"/>
    </row>
    <row r="805">
      <c r="E805" s="10"/>
      <c r="H805" s="27"/>
    </row>
    <row r="806">
      <c r="E806" s="10"/>
      <c r="H806" s="27"/>
    </row>
    <row r="807">
      <c r="E807" s="10"/>
      <c r="H807" s="27"/>
    </row>
    <row r="808">
      <c r="E808" s="10"/>
      <c r="H808" s="27"/>
    </row>
    <row r="809">
      <c r="E809" s="10"/>
      <c r="H809" s="27"/>
    </row>
    <row r="810">
      <c r="E810" s="10"/>
      <c r="H810" s="27"/>
    </row>
    <row r="811">
      <c r="E811" s="10"/>
      <c r="H811" s="27"/>
    </row>
    <row r="812">
      <c r="E812" s="10"/>
      <c r="H812" s="27"/>
    </row>
    <row r="813">
      <c r="E813" s="10"/>
      <c r="H813" s="27"/>
    </row>
    <row r="814">
      <c r="E814" s="10"/>
      <c r="H814" s="27"/>
    </row>
    <row r="815">
      <c r="E815" s="10"/>
      <c r="H815" s="27"/>
    </row>
    <row r="816">
      <c r="E816" s="10"/>
      <c r="H816" s="27"/>
    </row>
    <row r="817">
      <c r="E817" s="10"/>
      <c r="H817" s="27"/>
    </row>
    <row r="818">
      <c r="E818" s="10"/>
      <c r="H818" s="27"/>
    </row>
    <row r="819">
      <c r="E819" s="10"/>
      <c r="H819" s="27"/>
    </row>
    <row r="820">
      <c r="E820" s="10"/>
      <c r="H820" s="27"/>
    </row>
    <row r="821">
      <c r="E821" s="10"/>
      <c r="H821" s="27"/>
    </row>
    <row r="822">
      <c r="E822" s="10"/>
      <c r="H822" s="27"/>
    </row>
    <row r="823">
      <c r="E823" s="10"/>
      <c r="H823" s="27"/>
    </row>
    <row r="824">
      <c r="E824" s="10"/>
      <c r="H824" s="27"/>
    </row>
    <row r="825">
      <c r="E825" s="10"/>
      <c r="H825" s="27"/>
    </row>
    <row r="826">
      <c r="E826" s="10"/>
      <c r="H826" s="27"/>
    </row>
    <row r="827">
      <c r="E827" s="10"/>
      <c r="H827" s="27"/>
    </row>
    <row r="828">
      <c r="E828" s="10"/>
      <c r="H828" s="27"/>
    </row>
    <row r="829">
      <c r="E829" s="10"/>
      <c r="H829" s="27"/>
    </row>
    <row r="830">
      <c r="E830" s="10"/>
      <c r="H830" s="27"/>
    </row>
    <row r="831">
      <c r="E831" s="10"/>
      <c r="H831" s="27"/>
    </row>
    <row r="832">
      <c r="E832" s="10"/>
      <c r="H832" s="27"/>
    </row>
    <row r="833">
      <c r="E833" s="10"/>
      <c r="H833" s="27"/>
    </row>
    <row r="834">
      <c r="E834" s="10"/>
      <c r="H834" s="27"/>
    </row>
    <row r="835">
      <c r="E835" s="10"/>
      <c r="H835" s="27"/>
    </row>
    <row r="836">
      <c r="E836" s="10"/>
      <c r="H836" s="27"/>
    </row>
    <row r="837">
      <c r="E837" s="10"/>
      <c r="H837" s="27"/>
    </row>
    <row r="838">
      <c r="E838" s="10"/>
      <c r="H838" s="27"/>
    </row>
    <row r="839">
      <c r="E839" s="10"/>
      <c r="H839" s="27"/>
    </row>
    <row r="840">
      <c r="E840" s="10"/>
      <c r="H840" s="27"/>
    </row>
    <row r="841">
      <c r="E841" s="10"/>
      <c r="H841" s="27"/>
    </row>
    <row r="842">
      <c r="E842" s="10"/>
      <c r="H842" s="27"/>
    </row>
    <row r="843">
      <c r="E843" s="10"/>
      <c r="H843" s="27"/>
    </row>
    <row r="844">
      <c r="E844" s="10"/>
      <c r="H844" s="27"/>
    </row>
    <row r="845">
      <c r="E845" s="10"/>
      <c r="H845" s="27"/>
    </row>
    <row r="846">
      <c r="E846" s="10"/>
      <c r="H846" s="27"/>
    </row>
    <row r="847">
      <c r="E847" s="10"/>
      <c r="H847" s="27"/>
    </row>
    <row r="848">
      <c r="E848" s="10"/>
      <c r="H848" s="27"/>
    </row>
    <row r="849">
      <c r="E849" s="10"/>
      <c r="H849" s="27"/>
    </row>
    <row r="850">
      <c r="E850" s="10"/>
      <c r="H850" s="27"/>
    </row>
    <row r="851">
      <c r="E851" s="10"/>
      <c r="H851" s="27"/>
    </row>
    <row r="852">
      <c r="E852" s="10"/>
      <c r="H852" s="27"/>
    </row>
    <row r="853">
      <c r="E853" s="10"/>
      <c r="H853" s="27"/>
    </row>
    <row r="854">
      <c r="E854" s="10"/>
      <c r="H854" s="27"/>
    </row>
    <row r="855">
      <c r="E855" s="10"/>
      <c r="H855" s="27"/>
    </row>
    <row r="856">
      <c r="E856" s="10"/>
      <c r="H856" s="27"/>
    </row>
    <row r="857">
      <c r="E857" s="10"/>
      <c r="H857" s="27"/>
    </row>
    <row r="858">
      <c r="E858" s="10"/>
      <c r="H858" s="27"/>
    </row>
    <row r="859">
      <c r="E859" s="10"/>
      <c r="H859" s="27"/>
    </row>
    <row r="860">
      <c r="E860" s="10"/>
      <c r="H860" s="27"/>
    </row>
    <row r="861">
      <c r="E861" s="10"/>
      <c r="H861" s="27"/>
    </row>
    <row r="862">
      <c r="E862" s="10"/>
      <c r="H862" s="27"/>
    </row>
    <row r="863">
      <c r="E863" s="10"/>
      <c r="H863" s="27"/>
    </row>
    <row r="864">
      <c r="E864" s="10"/>
      <c r="H864" s="27"/>
    </row>
    <row r="865">
      <c r="E865" s="10"/>
      <c r="H865" s="27"/>
    </row>
    <row r="866">
      <c r="E866" s="10"/>
      <c r="H866" s="27"/>
    </row>
    <row r="867">
      <c r="E867" s="10"/>
      <c r="H867" s="27"/>
    </row>
    <row r="868">
      <c r="E868" s="10"/>
      <c r="H868" s="27"/>
    </row>
    <row r="869">
      <c r="E869" s="10"/>
      <c r="H869" s="27"/>
    </row>
    <row r="870">
      <c r="E870" s="10"/>
      <c r="H870" s="27"/>
    </row>
    <row r="871">
      <c r="E871" s="10"/>
      <c r="H871" s="27"/>
    </row>
    <row r="872">
      <c r="E872" s="10"/>
      <c r="H872" s="27"/>
    </row>
    <row r="873">
      <c r="E873" s="10"/>
      <c r="H873" s="27"/>
    </row>
    <row r="874">
      <c r="E874" s="10"/>
      <c r="H874" s="27"/>
    </row>
    <row r="875">
      <c r="E875" s="10"/>
      <c r="H875" s="27"/>
    </row>
    <row r="876">
      <c r="E876" s="10"/>
      <c r="H876" s="27"/>
    </row>
    <row r="877">
      <c r="E877" s="10"/>
      <c r="H877" s="27"/>
    </row>
    <row r="878">
      <c r="E878" s="10"/>
      <c r="H878" s="27"/>
    </row>
    <row r="879">
      <c r="E879" s="10"/>
      <c r="H879" s="27"/>
    </row>
    <row r="880">
      <c r="E880" s="10"/>
      <c r="H880" s="27"/>
    </row>
    <row r="881">
      <c r="E881" s="10"/>
      <c r="H881" s="27"/>
    </row>
    <row r="882">
      <c r="E882" s="10"/>
      <c r="H882" s="27"/>
    </row>
    <row r="883">
      <c r="E883" s="10"/>
      <c r="H883" s="27"/>
    </row>
    <row r="884">
      <c r="E884" s="10"/>
      <c r="H884" s="27"/>
    </row>
    <row r="885">
      <c r="E885" s="10"/>
      <c r="H885" s="27"/>
    </row>
    <row r="886">
      <c r="E886" s="10"/>
      <c r="H886" s="27"/>
    </row>
    <row r="887">
      <c r="E887" s="10"/>
      <c r="H887" s="27"/>
    </row>
    <row r="888">
      <c r="E888" s="10"/>
      <c r="H888" s="27"/>
    </row>
    <row r="889">
      <c r="E889" s="10"/>
      <c r="H889" s="27"/>
    </row>
    <row r="890">
      <c r="E890" s="10"/>
      <c r="H890" s="27"/>
    </row>
    <row r="891">
      <c r="E891" s="10"/>
      <c r="H891" s="27"/>
    </row>
    <row r="892">
      <c r="E892" s="10"/>
      <c r="H892" s="27"/>
    </row>
    <row r="893">
      <c r="E893" s="10"/>
      <c r="H893" s="27"/>
    </row>
    <row r="894">
      <c r="E894" s="10"/>
      <c r="H894" s="27"/>
    </row>
    <row r="895">
      <c r="E895" s="10"/>
      <c r="H895" s="27"/>
    </row>
    <row r="896">
      <c r="E896" s="10"/>
      <c r="H896" s="27"/>
    </row>
    <row r="897">
      <c r="E897" s="10"/>
      <c r="H897" s="27"/>
    </row>
    <row r="898">
      <c r="E898" s="10"/>
      <c r="H898" s="27"/>
    </row>
    <row r="899">
      <c r="E899" s="10"/>
      <c r="H899" s="27"/>
    </row>
    <row r="900">
      <c r="E900" s="10"/>
      <c r="H900" s="27"/>
    </row>
    <row r="901">
      <c r="E901" s="10"/>
      <c r="H901" s="27"/>
    </row>
    <row r="902">
      <c r="E902" s="10"/>
      <c r="H902" s="27"/>
    </row>
    <row r="903">
      <c r="E903" s="10"/>
      <c r="H903" s="27"/>
    </row>
    <row r="904">
      <c r="E904" s="10"/>
      <c r="H904" s="27"/>
    </row>
    <row r="905">
      <c r="E905" s="10"/>
      <c r="H905" s="27"/>
    </row>
    <row r="906">
      <c r="E906" s="10"/>
      <c r="H906" s="27"/>
    </row>
    <row r="907">
      <c r="E907" s="10"/>
      <c r="H907" s="27"/>
    </row>
    <row r="908">
      <c r="E908" s="10"/>
      <c r="H908" s="27"/>
    </row>
    <row r="909">
      <c r="E909" s="10"/>
      <c r="H909" s="27"/>
    </row>
    <row r="910">
      <c r="E910" s="10"/>
      <c r="H910" s="27"/>
    </row>
    <row r="911">
      <c r="E911" s="10"/>
      <c r="H911" s="27"/>
    </row>
    <row r="912">
      <c r="E912" s="10"/>
      <c r="H912" s="27"/>
    </row>
    <row r="913">
      <c r="E913" s="10"/>
      <c r="H913" s="27"/>
    </row>
    <row r="914">
      <c r="E914" s="10"/>
      <c r="H914" s="27"/>
    </row>
    <row r="915">
      <c r="E915" s="10"/>
      <c r="H915" s="27"/>
    </row>
    <row r="916">
      <c r="E916" s="10"/>
      <c r="H916" s="27"/>
    </row>
    <row r="917">
      <c r="E917" s="10"/>
      <c r="H917" s="27"/>
    </row>
    <row r="918">
      <c r="E918" s="10"/>
      <c r="H918" s="27"/>
    </row>
    <row r="919">
      <c r="E919" s="10"/>
      <c r="H919" s="27"/>
    </row>
    <row r="920">
      <c r="E920" s="10"/>
      <c r="H920" s="27"/>
    </row>
    <row r="921">
      <c r="E921" s="10"/>
      <c r="H921" s="27"/>
    </row>
    <row r="922">
      <c r="E922" s="10"/>
      <c r="H922" s="27"/>
    </row>
    <row r="923">
      <c r="E923" s="10"/>
      <c r="H923" s="27"/>
    </row>
    <row r="924">
      <c r="E924" s="10"/>
      <c r="H924" s="27"/>
    </row>
    <row r="925">
      <c r="E925" s="10"/>
      <c r="H925" s="27"/>
    </row>
    <row r="926">
      <c r="E926" s="10"/>
      <c r="H926" s="27"/>
    </row>
    <row r="927">
      <c r="E927" s="10"/>
      <c r="H927" s="27"/>
    </row>
    <row r="928">
      <c r="E928" s="10"/>
      <c r="H928" s="27"/>
    </row>
    <row r="929">
      <c r="E929" s="10"/>
      <c r="H929" s="27"/>
    </row>
    <row r="930">
      <c r="E930" s="10"/>
      <c r="H930" s="27"/>
    </row>
    <row r="931">
      <c r="E931" s="10"/>
      <c r="H931" s="27"/>
    </row>
    <row r="932">
      <c r="E932" s="10"/>
      <c r="H932" s="27"/>
    </row>
    <row r="933">
      <c r="E933" s="10"/>
      <c r="H933" s="27"/>
    </row>
    <row r="934">
      <c r="E934" s="10"/>
      <c r="H934" s="27"/>
    </row>
    <row r="935">
      <c r="E935" s="10"/>
      <c r="H935" s="27"/>
    </row>
    <row r="936">
      <c r="E936" s="10"/>
      <c r="H936" s="27"/>
    </row>
    <row r="937">
      <c r="E937" s="10"/>
      <c r="H937" s="27"/>
    </row>
    <row r="938">
      <c r="E938" s="10"/>
      <c r="H938" s="27"/>
    </row>
    <row r="939">
      <c r="E939" s="10"/>
      <c r="H939" s="27"/>
    </row>
    <row r="940">
      <c r="E940" s="10"/>
      <c r="H940" s="27"/>
    </row>
    <row r="941">
      <c r="E941" s="10"/>
      <c r="H941" s="27"/>
    </row>
    <row r="942">
      <c r="E942" s="10"/>
      <c r="H942" s="27"/>
    </row>
    <row r="943">
      <c r="E943" s="10"/>
      <c r="H943" s="27"/>
    </row>
    <row r="944">
      <c r="E944" s="10"/>
      <c r="H944" s="27"/>
    </row>
    <row r="945">
      <c r="E945" s="10"/>
      <c r="H945" s="27"/>
    </row>
    <row r="946">
      <c r="E946" s="10"/>
      <c r="H946" s="27"/>
    </row>
    <row r="947">
      <c r="E947" s="10"/>
      <c r="H947" s="27"/>
    </row>
    <row r="948">
      <c r="E948" s="10"/>
      <c r="H948" s="27"/>
    </row>
    <row r="949">
      <c r="E949" s="10"/>
      <c r="H949" s="27"/>
    </row>
    <row r="950">
      <c r="E950" s="10"/>
      <c r="H950" s="27"/>
    </row>
    <row r="951">
      <c r="E951" s="10"/>
      <c r="H951" s="27"/>
    </row>
    <row r="952">
      <c r="E952" s="10"/>
      <c r="H952" s="27"/>
    </row>
    <row r="953">
      <c r="E953" s="10"/>
      <c r="H953" s="27"/>
    </row>
    <row r="954">
      <c r="E954" s="10"/>
      <c r="H954" s="27"/>
    </row>
    <row r="955">
      <c r="E955" s="10"/>
      <c r="H955" s="27"/>
    </row>
    <row r="956">
      <c r="E956" s="10"/>
      <c r="H956" s="27"/>
    </row>
    <row r="957">
      <c r="E957" s="10"/>
      <c r="H957" s="27"/>
    </row>
    <row r="958">
      <c r="E958" s="10"/>
      <c r="H958" s="27"/>
    </row>
    <row r="959">
      <c r="E959" s="10"/>
      <c r="H959" s="27"/>
    </row>
    <row r="960">
      <c r="E960" s="10"/>
      <c r="H960" s="27"/>
    </row>
    <row r="961">
      <c r="E961" s="10"/>
      <c r="H961" s="27"/>
    </row>
    <row r="962">
      <c r="E962" s="10"/>
      <c r="H962" s="27"/>
    </row>
    <row r="963">
      <c r="E963" s="10"/>
      <c r="H963" s="27"/>
    </row>
    <row r="964">
      <c r="E964" s="10"/>
      <c r="H964" s="27"/>
    </row>
    <row r="965">
      <c r="E965" s="10"/>
      <c r="H965" s="27"/>
    </row>
    <row r="966">
      <c r="E966" s="10"/>
      <c r="H966" s="27"/>
    </row>
    <row r="967">
      <c r="E967" s="10"/>
      <c r="H967" s="27"/>
    </row>
    <row r="968">
      <c r="E968" s="10"/>
      <c r="H968" s="27"/>
    </row>
    <row r="969">
      <c r="E969" s="10"/>
      <c r="H969" s="27"/>
    </row>
    <row r="970">
      <c r="E970" s="10"/>
      <c r="H970" s="27"/>
    </row>
    <row r="971">
      <c r="E971" s="10"/>
      <c r="H971" s="27"/>
    </row>
    <row r="972">
      <c r="E972" s="10"/>
      <c r="H972" s="27"/>
    </row>
    <row r="973">
      <c r="E973" s="10"/>
      <c r="H973" s="27"/>
    </row>
    <row r="974">
      <c r="E974" s="10"/>
      <c r="H974" s="27"/>
    </row>
    <row r="975">
      <c r="E975" s="10"/>
      <c r="H975" s="27"/>
    </row>
    <row r="976">
      <c r="E976" s="10"/>
      <c r="H976" s="27"/>
    </row>
    <row r="977">
      <c r="E977" s="10"/>
      <c r="H977" s="27"/>
    </row>
    <row r="978">
      <c r="E978" s="10"/>
      <c r="H978" s="27"/>
    </row>
    <row r="979">
      <c r="E979" s="10"/>
      <c r="H979" s="27"/>
    </row>
    <row r="980">
      <c r="E980" s="10"/>
      <c r="H980" s="27"/>
    </row>
    <row r="981">
      <c r="E981" s="10"/>
      <c r="H981" s="27"/>
    </row>
    <row r="982">
      <c r="E982" s="10"/>
      <c r="H982" s="27"/>
    </row>
    <row r="983">
      <c r="E983" s="10"/>
      <c r="H983" s="27"/>
    </row>
    <row r="984">
      <c r="E984" s="10"/>
      <c r="H984" s="27"/>
    </row>
    <row r="985">
      <c r="E985" s="10"/>
      <c r="H985" s="27"/>
    </row>
    <row r="986">
      <c r="E986" s="10"/>
      <c r="H986" s="27"/>
    </row>
    <row r="987">
      <c r="E987" s="10"/>
      <c r="H987" s="27"/>
    </row>
    <row r="988">
      <c r="E988" s="10"/>
      <c r="H988" s="27"/>
    </row>
    <row r="989">
      <c r="E989" s="10"/>
      <c r="H989" s="27"/>
    </row>
    <row r="990">
      <c r="E990" s="10"/>
      <c r="H990" s="27"/>
    </row>
    <row r="991">
      <c r="E991" s="10"/>
      <c r="H991" s="27"/>
    </row>
    <row r="992">
      <c r="E992" s="10"/>
      <c r="H992" s="27"/>
    </row>
    <row r="993">
      <c r="E993" s="10"/>
      <c r="H993" s="27"/>
    </row>
    <row r="994">
      <c r="E994" s="10"/>
      <c r="H994" s="27"/>
    </row>
    <row r="995">
      <c r="E995" s="10"/>
      <c r="H995" s="27"/>
    </row>
    <row r="996">
      <c r="E996" s="10"/>
      <c r="H996" s="27"/>
    </row>
    <row r="997">
      <c r="E997" s="10"/>
      <c r="H997" s="27"/>
    </row>
    <row r="998">
      <c r="E998" s="10"/>
      <c r="H998" s="27"/>
    </row>
    <row r="999">
      <c r="E999" s="10"/>
      <c r="H999" s="27"/>
    </row>
    <row r="1000">
      <c r="E1000" s="10"/>
      <c r="H1000" s="27"/>
    </row>
    <row r="1001">
      <c r="E1001" s="10"/>
      <c r="H1001" s="27"/>
    </row>
  </sheetData>
  <hyperlinks>
    <hyperlink r:id="rId1" ref="E4"/>
    <hyperlink r:id="rId2" ref="E6"/>
    <hyperlink r:id="rId3" ref="E13"/>
    <hyperlink r:id="rId4" ref="E39"/>
  </hyperlinks>
  <printOptions gridLines="1" horizontalCentered="1"/>
  <pageMargins bottom="0.75" footer="0.0" header="0.0" left="0.7" right="0.7" top="0.75"/>
  <pageSetup fitToHeight="0" cellComments="atEnd" orientation="landscape" pageOrder="overThenDown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314</v>
      </c>
      <c r="B1" s="7" t="s">
        <v>7</v>
      </c>
      <c r="F1" s="7" t="s">
        <v>315</v>
      </c>
      <c r="G1" s="7" t="s">
        <v>316</v>
      </c>
      <c r="H1" s="7" t="s">
        <v>317</v>
      </c>
    </row>
    <row r="2">
      <c r="A2" s="7" t="s">
        <v>318</v>
      </c>
      <c r="B2" s="7">
        <v>175.0</v>
      </c>
      <c r="F2" s="7" t="s">
        <v>319</v>
      </c>
      <c r="G2" s="7">
        <v>195.0</v>
      </c>
    </row>
    <row r="3">
      <c r="A3" s="7" t="s">
        <v>320</v>
      </c>
      <c r="B3" s="7">
        <v>173.0</v>
      </c>
    </row>
    <row r="4">
      <c r="A4" s="7" t="s">
        <v>321</v>
      </c>
      <c r="B4" s="7">
        <v>178.0</v>
      </c>
    </row>
    <row r="5">
      <c r="A5" s="7" t="s">
        <v>322</v>
      </c>
      <c r="B5" s="7">
        <v>180.0</v>
      </c>
    </row>
    <row r="6">
      <c r="A6" s="7" t="s">
        <v>323</v>
      </c>
      <c r="B6" s="7">
        <v>184.0</v>
      </c>
    </row>
    <row r="7">
      <c r="A7" s="7" t="s">
        <v>324</v>
      </c>
      <c r="B7" s="7">
        <v>185.0</v>
      </c>
    </row>
    <row r="8">
      <c r="A8" s="7" t="s">
        <v>325</v>
      </c>
      <c r="B8" s="7">
        <v>188.0</v>
      </c>
    </row>
    <row r="9">
      <c r="A9" s="7" t="s">
        <v>326</v>
      </c>
      <c r="B9" s="7">
        <v>190.0</v>
      </c>
    </row>
    <row r="10">
      <c r="A10" s="7" t="s">
        <v>327</v>
      </c>
      <c r="B10" s="7">
        <v>192.0</v>
      </c>
    </row>
  </sheetData>
  <drawing r:id="rId1"/>
</worksheet>
</file>